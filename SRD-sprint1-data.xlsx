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. Code\"/>
    </mc:Choice>
  </mc:AlternateContent>
  <xr:revisionPtr revIDLastSave="0" documentId="13_ncr:1_{9928BFD1-6173-4D90-A446-B9938471C7F5}" xr6:coauthVersionLast="47" xr6:coauthVersionMax="47" xr10:uidLastSave="{00000000-0000-0000-0000-000000000000}"/>
  <bookViews>
    <workbookView xWindow="-120" yWindow="-120" windowWidth="29040" windowHeight="17520" xr2:uid="{C1EA2E36-B3BE-45C0-B0FF-E4EF19C6BD52}"/>
  </bookViews>
  <sheets>
    <sheet name="Tabelle2" sheetId="2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</calcChain>
</file>

<file path=xl/sharedStrings.xml><?xml version="1.0" encoding="utf-8"?>
<sst xmlns="http://schemas.openxmlformats.org/spreadsheetml/2006/main" count="483" uniqueCount="273">
  <si>
    <t>Rang</t>
  </si>
  <si>
    <t>Nachname Vorname</t>
  </si>
  <si>
    <t>Jg</t>
  </si>
  <si>
    <t>Nat</t>
  </si>
  <si>
    <t>Ort</t>
  </si>
  <si>
    <t>Verein</t>
  </si>
  <si>
    <t>Zeit</t>
  </si>
  <si>
    <t>min/km</t>
  </si>
  <si>
    <t>Lobalu Dominic</t>
  </si>
  <si>
    <t>SSD</t>
  </si>
  <si>
    <t>St. Gallen</t>
  </si>
  <si>
    <t>LC Brühl Leichtathletik</t>
  </si>
  <si>
    <t>Morgan Le Guen</t>
  </si>
  <si>
    <t>SUI</t>
  </si>
  <si>
    <t>Annemasse</t>
  </si>
  <si>
    <t>Stade Genève</t>
  </si>
  <si>
    <t>Rüttimann Eric</t>
  </si>
  <si>
    <t>Untereggen</t>
  </si>
  <si>
    <t>LC Uster</t>
  </si>
  <si>
    <t>Salam Ali Abdi</t>
  </si>
  <si>
    <t>SOM</t>
  </si>
  <si>
    <t>Zürich</t>
  </si>
  <si>
    <t>Lehmann Adrian</t>
  </si>
  <si>
    <t>Langenthal</t>
  </si>
  <si>
    <t>LV Langenthal</t>
  </si>
  <si>
    <t>Weldezghi Seare</t>
  </si>
  <si>
    <t>ERI</t>
  </si>
  <si>
    <t>LAC TV Unterstrass</t>
  </si>
  <si>
    <t>Noti Luca</t>
  </si>
  <si>
    <t>Bern</t>
  </si>
  <si>
    <t>STB Leichtathletik</t>
  </si>
  <si>
    <t>Amaniel Habtom</t>
  </si>
  <si>
    <t>Aigle</t>
  </si>
  <si>
    <t>Team ATLET - VOLODALEN</t>
  </si>
  <si>
    <t>Schönenberger Urs</t>
  </si>
  <si>
    <t>LC Regensdorf</t>
  </si>
  <si>
    <t>Cachelin Guillaume</t>
  </si>
  <si>
    <t>Petit-Lancy</t>
  </si>
  <si>
    <t>Bussy Wondimu</t>
  </si>
  <si>
    <t>Genève</t>
  </si>
  <si>
    <t>Invia</t>
  </si>
  <si>
    <t>Christen Maurice Etienne</t>
  </si>
  <si>
    <t>Lädermann Léo</t>
  </si>
  <si>
    <t>Carouge GE</t>
  </si>
  <si>
    <t>CHP Genève</t>
  </si>
  <si>
    <t>Engelhardt Adriano</t>
  </si>
  <si>
    <t>Gland</t>
  </si>
  <si>
    <t>KeForma.team</t>
  </si>
  <si>
    <t>Pellaz Loris</t>
  </si>
  <si>
    <t>Granges VS</t>
  </si>
  <si>
    <t>Ehrle Lukas</t>
  </si>
  <si>
    <t>GER</t>
  </si>
  <si>
    <t>Villingen</t>
  </si>
  <si>
    <t>LG Brandenkopf</t>
  </si>
  <si>
    <t>Gächter Janis</t>
  </si>
  <si>
    <t>Niederurnen</t>
  </si>
  <si>
    <t>Lussy Florian</t>
  </si>
  <si>
    <t>Oberdorf NW</t>
  </si>
  <si>
    <t>Hille Erik</t>
  </si>
  <si>
    <t>Nabburg</t>
  </si>
  <si>
    <t>LT Haspa Marathon Hamburg</t>
  </si>
  <si>
    <t>Irarragorri Camilo</t>
  </si>
  <si>
    <t>Herrliberg</t>
  </si>
  <si>
    <t>SSC Athletics</t>
  </si>
  <si>
    <t>Keller David</t>
  </si>
  <si>
    <t>Dietikon</t>
  </si>
  <si>
    <t>TV Oerlikon</t>
  </si>
  <si>
    <t>Herren Dominik</t>
  </si>
  <si>
    <t>Liebefeld</t>
  </si>
  <si>
    <t>Coendet Andy</t>
  </si>
  <si>
    <t>Bernex</t>
  </si>
  <si>
    <t>Renner Roman</t>
  </si>
  <si>
    <t>Meierskappel</t>
  </si>
  <si>
    <t>TSV 2001 Rotkreuz</t>
  </si>
  <si>
    <t>Leboeuf François</t>
  </si>
  <si>
    <t>CABV Martigny</t>
  </si>
  <si>
    <t>Schaub Jonas</t>
  </si>
  <si>
    <t>Benglen</t>
  </si>
  <si>
    <t>TV Maur</t>
  </si>
  <si>
    <t>Wenk Stephan</t>
  </si>
  <si>
    <t>Bertschikon Gossau</t>
  </si>
  <si>
    <t>Christen Julien</t>
  </si>
  <si>
    <t>Kirchlindach</t>
  </si>
  <si>
    <t>Besse Jean-Claude</t>
  </si>
  <si>
    <t>Mennet Robin</t>
  </si>
  <si>
    <t>Rheinfelden</t>
  </si>
  <si>
    <t>LC Basel</t>
  </si>
  <si>
    <t>Schönleber Jannis</t>
  </si>
  <si>
    <t>Lupsingen</t>
  </si>
  <si>
    <t>Marani Tommaso</t>
  </si>
  <si>
    <t>Viganello</t>
  </si>
  <si>
    <t>SAL Società Atletica Lugano</t>
  </si>
  <si>
    <t>Huldi Samuel</t>
  </si>
  <si>
    <t>Freitag Nino</t>
  </si>
  <si>
    <t>Winterthur</t>
  </si>
  <si>
    <t>LV Winterthur</t>
  </si>
  <si>
    <t>Alagona Andrea</t>
  </si>
  <si>
    <t>Locarno</t>
  </si>
  <si>
    <t>Da Silva Miguel</t>
  </si>
  <si>
    <t>Thônex</t>
  </si>
  <si>
    <t>RCB Collonge-Bellerive</t>
  </si>
  <si>
    <t>Gmür Chrigi</t>
  </si>
  <si>
    <t>Spiegel b. Bern</t>
  </si>
  <si>
    <t>LC Rapperswil-Jona</t>
  </si>
  <si>
    <t>Kaufmann Loris</t>
  </si>
  <si>
    <t>Dürnten</t>
  </si>
  <si>
    <t>Ulrich Stefan</t>
  </si>
  <si>
    <t>Regensdorf</t>
  </si>
  <si>
    <t>Monney Sylvain</t>
  </si>
  <si>
    <t>Corpataux-Magneden</t>
  </si>
  <si>
    <t>CAG Farvagny</t>
  </si>
  <si>
    <t>Amstutz Timon</t>
  </si>
  <si>
    <t>Hindelbank</t>
  </si>
  <si>
    <t>TV Länggasse</t>
  </si>
  <si>
    <t>Marti Mickael</t>
  </si>
  <si>
    <t>Sonceboz-Sombeval</t>
  </si>
  <si>
    <t>TIP-TOP Swiss Polysport Macolin</t>
  </si>
  <si>
    <t>Niederhauser Thibault</t>
  </si>
  <si>
    <t>Château-d'Oex</t>
  </si>
  <si>
    <t>Chalus François</t>
  </si>
  <si>
    <t>Hutterli Loris</t>
  </si>
  <si>
    <t>UNISPORTS recruiting</t>
  </si>
  <si>
    <t>Benz Fabian</t>
  </si>
  <si>
    <t>Berneck</t>
  </si>
  <si>
    <t>MILA Rheintal</t>
  </si>
  <si>
    <t>Rotzetter Marc</t>
  </si>
  <si>
    <t>Rechthalten</t>
  </si>
  <si>
    <t>Athletic Team Rechthalten</t>
  </si>
  <si>
    <t>Jauch Manfred</t>
  </si>
  <si>
    <t>Altdorf</t>
  </si>
  <si>
    <t>LC Altdorf</t>
  </si>
  <si>
    <t>Gossauer Jens-Michael</t>
  </si>
  <si>
    <t>Jona</t>
  </si>
  <si>
    <t>Baggenstos Tobias</t>
  </si>
  <si>
    <t>Gersau</t>
  </si>
  <si>
    <t>Brooks Trail Runners</t>
  </si>
  <si>
    <t>Josef Raphael</t>
  </si>
  <si>
    <t>Bronschhofen</t>
  </si>
  <si>
    <t>Torche Julien</t>
  </si>
  <si>
    <t>Tentlingen</t>
  </si>
  <si>
    <t>SA Bulle</t>
  </si>
  <si>
    <t>Pinto Ricardo</t>
  </si>
  <si>
    <t>Veyrier</t>
  </si>
  <si>
    <t>Gilliéron Clément</t>
  </si>
  <si>
    <t>Cossonay</t>
  </si>
  <si>
    <t>Athle.ch Club</t>
  </si>
  <si>
    <t>Marti Sven</t>
  </si>
  <si>
    <t>Buochs</t>
  </si>
  <si>
    <t>LA Nidwalden</t>
  </si>
  <si>
    <t>Leugger Flurin</t>
  </si>
  <si>
    <t>Schnider Lars</t>
  </si>
  <si>
    <t>Lohn-Ammannsegg</t>
  </si>
  <si>
    <t>STB</t>
  </si>
  <si>
    <t>Rüttimann Cyrill</t>
  </si>
  <si>
    <t>Stäfa</t>
  </si>
  <si>
    <t>Meyer Cedric</t>
  </si>
  <si>
    <t>Galgenen</t>
  </si>
  <si>
    <t>TSV Galgenen</t>
  </si>
  <si>
    <t>Knaus David</t>
  </si>
  <si>
    <t>Mayer Rey Despenzia Samuel</t>
  </si>
  <si>
    <t>Birmenstorf</t>
  </si>
  <si>
    <t>Arnold Philipp</t>
  </si>
  <si>
    <t>Cham</t>
  </si>
  <si>
    <t>LC Zürich</t>
  </si>
  <si>
    <t>Castiglioni Luca</t>
  </si>
  <si>
    <t>Thalwil</t>
  </si>
  <si>
    <t>Kostyuchenko Nikita</t>
  </si>
  <si>
    <t>Lufingen</t>
  </si>
  <si>
    <t>Stuker Leo</t>
  </si>
  <si>
    <t>Werder Dario</t>
  </si>
  <si>
    <t>Frauenfeld</t>
  </si>
  <si>
    <t>LC Frauenfeld</t>
  </si>
  <si>
    <t>Ott Marcel</t>
  </si>
  <si>
    <t>Wallisellen</t>
  </si>
  <si>
    <t>Gerber Tobias</t>
  </si>
  <si>
    <t>Renner Philipp</t>
  </si>
  <si>
    <t>LC Luzern</t>
  </si>
  <si>
    <t>Maret Clément</t>
  </si>
  <si>
    <t>Fully</t>
  </si>
  <si>
    <t>Maurer Paul</t>
  </si>
  <si>
    <t>AVG</t>
  </si>
  <si>
    <t>Oliver Rubén</t>
  </si>
  <si>
    <t>Schönbächler Emanuel</t>
  </si>
  <si>
    <t>Küssnacht</t>
  </si>
  <si>
    <t>STV Küssnacht</t>
  </si>
  <si>
    <t>Schönenberger Simon</t>
  </si>
  <si>
    <t>Marquart Artho</t>
  </si>
  <si>
    <t>Aathal-Seegräben</t>
  </si>
  <si>
    <t>Wolfensberger Simon</t>
  </si>
  <si>
    <t>Morgenthaler Joël</t>
  </si>
  <si>
    <t>Waltenschwil</t>
  </si>
  <si>
    <t>Parfuss Florin</t>
  </si>
  <si>
    <t>Wiederkehr Fabian</t>
  </si>
  <si>
    <t>Wil SG</t>
  </si>
  <si>
    <t>Popea Théotime</t>
  </si>
  <si>
    <t>Lutry</t>
  </si>
  <si>
    <t>AthleTEAM Lutry / Cris Run</t>
  </si>
  <si>
    <t>Lagerström Mark</t>
  </si>
  <si>
    <t>Dübendorf</t>
  </si>
  <si>
    <t>SV WIEDIKON</t>
  </si>
  <si>
    <t>Schober Rafael</t>
  </si>
  <si>
    <t>Bützberg</t>
  </si>
  <si>
    <t>LV Langenthal / LTC</t>
  </si>
  <si>
    <t>Fischer Christian</t>
  </si>
  <si>
    <t>Aarberg</t>
  </si>
  <si>
    <t>LCA Bärn</t>
  </si>
  <si>
    <t>Marquetant Timo</t>
  </si>
  <si>
    <t>Beringen</t>
  </si>
  <si>
    <t>LC Schaffhausen</t>
  </si>
  <si>
    <t>Leneuf Louis</t>
  </si>
  <si>
    <t>Blonay</t>
  </si>
  <si>
    <t>Schneeberger Manuel</t>
  </si>
  <si>
    <t>Pedrazzoli Thomas</t>
  </si>
  <si>
    <t>Wisler Thomas</t>
  </si>
  <si>
    <t>Morges</t>
  </si>
  <si>
    <t>Kaufmann Cyrill</t>
  </si>
  <si>
    <t>Obfelden</t>
  </si>
  <si>
    <t>LV Albis</t>
  </si>
  <si>
    <t>Bischofberger Emil</t>
  </si>
  <si>
    <t>Horgen</t>
  </si>
  <si>
    <t>Bruderer Silas</t>
  </si>
  <si>
    <t>Egnach</t>
  </si>
  <si>
    <t>LAR Bischofszell</t>
  </si>
  <si>
    <t>Schmidhalter Joël</t>
  </si>
  <si>
    <t>Glis</t>
  </si>
  <si>
    <t>Ummel Dominik</t>
  </si>
  <si>
    <t>Biglen</t>
  </si>
  <si>
    <t>Leibundgut Armin</t>
  </si>
  <si>
    <t>Melchnau</t>
  </si>
  <si>
    <t>Freund Jonas</t>
  </si>
  <si>
    <t>Vilters</t>
  </si>
  <si>
    <t>TG Ost</t>
  </si>
  <si>
    <t>Bohren Yves</t>
  </si>
  <si>
    <t>Kleinandelfingen</t>
  </si>
  <si>
    <t>LAC TV Unterstrass / Medbase Runner</t>
  </si>
  <si>
    <t>Länzlinger Lorin</t>
  </si>
  <si>
    <t>Mosnang</t>
  </si>
  <si>
    <t>LR Mosnang</t>
  </si>
  <si>
    <t>Marty Stefan</t>
  </si>
  <si>
    <t>Steinen</t>
  </si>
  <si>
    <t>smrun / crespo.ch / erox</t>
  </si>
  <si>
    <t>Aase Njaal</t>
  </si>
  <si>
    <t>Hüntwangen</t>
  </si>
  <si>
    <t>LC Rafzerfeld</t>
  </si>
  <si>
    <t>Alcala Adrià</t>
  </si>
  <si>
    <t>Aeschlimann Gilles</t>
  </si>
  <si>
    <t>Le Locle</t>
  </si>
  <si>
    <t>Blättler Remo</t>
  </si>
  <si>
    <t>Stans</t>
  </si>
  <si>
    <t>Albuquerque Bruno</t>
  </si>
  <si>
    <t>Epautheyres</t>
  </si>
  <si>
    <t>USY / Trilogie Sport</t>
  </si>
  <si>
    <t>Kloter Marc</t>
  </si>
  <si>
    <t>Wettingen</t>
  </si>
  <si>
    <t>Triathlon Club Baden</t>
  </si>
  <si>
    <t>Jurt Mario</t>
  </si>
  <si>
    <t>Faulensee</t>
  </si>
  <si>
    <t>LC Scharnachtal</t>
  </si>
  <si>
    <t>Kohler Christof</t>
  </si>
  <si>
    <t>Wasen im Emmental</t>
  </si>
  <si>
    <t>rank-sm</t>
  </si>
  <si>
    <t>lastname firstname</t>
  </si>
  <si>
    <t>yearofbirth</t>
  </si>
  <si>
    <t>residence</t>
  </si>
  <si>
    <t>club</t>
  </si>
  <si>
    <t>time</t>
  </si>
  <si>
    <t>speed</t>
  </si>
  <si>
    <t>time_s</t>
  </si>
  <si>
    <t>speed_s_per_k</t>
  </si>
  <si>
    <t>lastname</t>
  </si>
  <si>
    <t>firstname</t>
  </si>
  <si>
    <t>firstname2</t>
  </si>
  <si>
    <t>firstname3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</si>
</sst>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6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0" borderId="0" xfId="0" quotePrefix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1F09-CE61-4926-92C8-A3A02E673F81}">
  <dimension ref="A1:S101"/>
  <sheetViews>
    <sheetView tabSelected="1" workbookViewId="0">
      <selection activeCell="T8" sqref="T8"/>
    </sheetView>
  </sheetViews>
  <sheetFormatPr defaultColWidth="11.42578125" defaultRowHeight="15" x14ac:dyDescent="0.25"/>
  <cols>
    <col min="2" max="2" width="26.7109375" bestFit="1" customWidth="1"/>
    <col min="8" max="8" width="2.85546875" customWidth="1"/>
    <col min="10" max="10" width="11.42578125" style="6"/>
    <col min="11" max="11" width="13.85546875" bestFit="1" customWidth="1"/>
    <col min="12" max="12" width="4" customWidth="1"/>
  </cols>
  <sheetData>
    <row r="1" spans="1:19" x14ac:dyDescent="0.25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I1" t="s">
        <v>262</v>
      </c>
      <c r="J1" t="s">
        <v>267</v>
      </c>
      <c r="K1" t="s">
        <v>268</v>
      </c>
      <c r="M1" t="s">
        <v>262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</row>
    <row r="2" spans="1:19" x14ac:dyDescent="0.25">
      <c r="A2">
        <v>1</v>
      </c>
      <c r="B2" t="s">
        <v>12</v>
      </c>
      <c r="C2">
        <v>93</v>
      </c>
      <c r="D2" t="s">
        <v>14</v>
      </c>
      <c r="E2" t="s">
        <v>15</v>
      </c>
      <c r="F2" s="1">
        <v>1.21875</v>
      </c>
      <c r="G2" s="2">
        <v>0.12152777777777778</v>
      </c>
      <c r="H2" s="2"/>
      <c r="I2" s="4">
        <f>IF(C2&gt;=20, C2+1900, C2+2000)</f>
        <v>1993</v>
      </c>
      <c r="J2" s="6">
        <f>(HOUR(F2)+24)*60 + MINUTE(F2)</f>
        <v>1755</v>
      </c>
      <c r="K2" s="5">
        <f>HOUR(G2)*60 + MINUTE(G2)</f>
        <v>175</v>
      </c>
      <c r="M2">
        <v>1993</v>
      </c>
      <c r="N2">
        <v>1755</v>
      </c>
      <c r="O2">
        <v>175</v>
      </c>
      <c r="P2" t="str">
        <f>LEFT(B2, FIND(" ", B2) - 1)</f>
        <v>Morgan</v>
      </c>
      <c r="Q2" t="str">
        <f>RIGHT(B2, LEN(B2) - FIND(" ", B2))</f>
        <v>Le Guen</v>
      </c>
      <c r="R2" t="str">
        <f>SUBSTITUTE(Q2, " ", "-")</f>
        <v>Le-Guen</v>
      </c>
      <c r="S2" t="str">
        <f>SUBSTITUTE(RIGHT(B2, LEN(B2) - FIND(" ", B2)), " ", "-")</f>
        <v>Le-Guen</v>
      </c>
    </row>
    <row r="3" spans="1:19" x14ac:dyDescent="0.25">
      <c r="A3">
        <v>2</v>
      </c>
      <c r="B3" t="s">
        <v>16</v>
      </c>
      <c r="C3">
        <v>92</v>
      </c>
      <c r="D3" t="s">
        <v>17</v>
      </c>
      <c r="E3" t="s">
        <v>18</v>
      </c>
      <c r="F3" s="1">
        <v>1.2236111111111112</v>
      </c>
      <c r="G3" s="2">
        <v>0.12222222222222222</v>
      </c>
      <c r="H3" s="2"/>
      <c r="I3" s="4">
        <f>IF(C3&gt;=20, C3+1900, C3+2000)</f>
        <v>1992</v>
      </c>
      <c r="J3" s="6">
        <f t="shared" ref="J3:J66" si="0">(HOUR(F3)+24)*60 + MINUTE(F3)</f>
        <v>1762</v>
      </c>
      <c r="K3" s="5">
        <f t="shared" ref="K3:K66" si="1">HOUR(G3)*60 + MINUTE(G3)</f>
        <v>176</v>
      </c>
      <c r="M3">
        <v>1992</v>
      </c>
      <c r="N3">
        <v>1762</v>
      </c>
      <c r="O3">
        <v>176</v>
      </c>
      <c r="P3" t="str">
        <f t="shared" ref="P3:P66" si="2">LEFT(B3, FIND(" ", B3) - 1)</f>
        <v>Rüttimann</v>
      </c>
      <c r="Q3" t="str">
        <f t="shared" ref="Q3:Q66" si="3">RIGHT(B3, LEN(B3) - FIND(" ", B3))</f>
        <v>Eric</v>
      </c>
      <c r="R3" t="str">
        <f t="shared" ref="R3:R66" si="4">SUBSTITUTE(Q3, " ", "-")</f>
        <v>Eric</v>
      </c>
      <c r="S3" t="str">
        <f t="shared" ref="S3:S66" si="5">SUBSTITUTE(RIGHT(B3, LEN(B3) - FIND(" ", B3)), " ", "-")</f>
        <v>Eric</v>
      </c>
    </row>
    <row r="4" spans="1:19" x14ac:dyDescent="0.25">
      <c r="A4">
        <v>3</v>
      </c>
      <c r="B4" t="s">
        <v>22</v>
      </c>
      <c r="C4">
        <v>89</v>
      </c>
      <c r="D4" t="s">
        <v>23</v>
      </c>
      <c r="E4" t="s">
        <v>24</v>
      </c>
      <c r="F4" s="1">
        <v>1.2270833333333333</v>
      </c>
      <c r="G4" s="2">
        <v>0.12222222222222222</v>
      </c>
      <c r="H4" s="2"/>
      <c r="I4" s="4">
        <f>IF(C4&gt;=20, C4+1900, C4+2000)</f>
        <v>1989</v>
      </c>
      <c r="J4" s="6">
        <f t="shared" si="0"/>
        <v>1767</v>
      </c>
      <c r="K4" s="5">
        <f t="shared" si="1"/>
        <v>176</v>
      </c>
      <c r="M4">
        <v>1989</v>
      </c>
      <c r="N4">
        <v>1767</v>
      </c>
      <c r="O4">
        <v>176</v>
      </c>
      <c r="P4" t="str">
        <f t="shared" si="2"/>
        <v>Lehmann</v>
      </c>
      <c r="Q4" t="str">
        <f t="shared" si="3"/>
        <v>Adrian</v>
      </c>
      <c r="R4" t="str">
        <f t="shared" si="4"/>
        <v>Adrian</v>
      </c>
      <c r="S4" t="str">
        <f t="shared" si="5"/>
        <v>Adrian</v>
      </c>
    </row>
    <row r="5" spans="1:19" x14ac:dyDescent="0.25">
      <c r="A5">
        <v>4</v>
      </c>
      <c r="B5" t="s">
        <v>28</v>
      </c>
      <c r="C5">
        <v>95</v>
      </c>
      <c r="D5" t="s">
        <v>29</v>
      </c>
      <c r="E5" t="s">
        <v>30</v>
      </c>
      <c r="F5" s="1">
        <v>1.2368055555555555</v>
      </c>
      <c r="G5" s="2">
        <v>0.12361111111111112</v>
      </c>
      <c r="H5" s="2"/>
      <c r="I5" s="4">
        <f>IF(C5&gt;=20, C5+1900, C5+2000)</f>
        <v>1995</v>
      </c>
      <c r="J5" s="6">
        <f t="shared" si="0"/>
        <v>1781</v>
      </c>
      <c r="K5" s="5">
        <f t="shared" si="1"/>
        <v>178</v>
      </c>
      <c r="M5">
        <v>1995</v>
      </c>
      <c r="N5">
        <v>1781</v>
      </c>
      <c r="O5">
        <v>178</v>
      </c>
      <c r="P5" t="str">
        <f t="shared" si="2"/>
        <v>Noti</v>
      </c>
      <c r="Q5" t="str">
        <f t="shared" si="3"/>
        <v>Luca</v>
      </c>
      <c r="R5" t="str">
        <f t="shared" si="4"/>
        <v>Luca</v>
      </c>
      <c r="S5" t="str">
        <f t="shared" si="5"/>
        <v>Luca</v>
      </c>
    </row>
    <row r="6" spans="1:19" x14ac:dyDescent="0.25">
      <c r="A6">
        <v>5</v>
      </c>
      <c r="B6" t="s">
        <v>34</v>
      </c>
      <c r="C6">
        <v>91</v>
      </c>
      <c r="D6" t="s">
        <v>21</v>
      </c>
      <c r="E6" t="s">
        <v>35</v>
      </c>
      <c r="F6" s="1">
        <v>1.2479166666666666</v>
      </c>
      <c r="G6" s="2">
        <v>0.12430555555555556</v>
      </c>
      <c r="H6" s="2"/>
      <c r="I6" s="4">
        <f>IF(C6&gt;=20, C6+1900, C6+2000)</f>
        <v>1991</v>
      </c>
      <c r="J6" s="6">
        <f t="shared" si="0"/>
        <v>1797</v>
      </c>
      <c r="K6" s="5">
        <f t="shared" si="1"/>
        <v>179</v>
      </c>
      <c r="M6">
        <v>1991</v>
      </c>
      <c r="N6">
        <v>1797</v>
      </c>
      <c r="O6">
        <v>179</v>
      </c>
      <c r="P6" t="str">
        <f t="shared" si="2"/>
        <v>Schönenberger</v>
      </c>
      <c r="Q6" t="str">
        <f t="shared" si="3"/>
        <v>Urs</v>
      </c>
      <c r="R6" t="str">
        <f t="shared" si="4"/>
        <v>Urs</v>
      </c>
      <c r="S6" t="str">
        <f t="shared" si="5"/>
        <v>Urs</v>
      </c>
    </row>
    <row r="7" spans="1:19" x14ac:dyDescent="0.25">
      <c r="A7">
        <v>6</v>
      </c>
      <c r="B7" t="s">
        <v>36</v>
      </c>
      <c r="C7">
        <v>96</v>
      </c>
      <c r="D7" t="s">
        <v>37</v>
      </c>
      <c r="E7" t="s">
        <v>15</v>
      </c>
      <c r="F7" s="1">
        <v>1.2534722222222223</v>
      </c>
      <c r="G7" s="2">
        <v>0.125</v>
      </c>
      <c r="H7" s="2"/>
      <c r="I7" s="4">
        <f>IF(C7&gt;=20, C7+1900, C7+2000)</f>
        <v>1996</v>
      </c>
      <c r="J7" s="6">
        <f t="shared" si="0"/>
        <v>1805</v>
      </c>
      <c r="K7" s="5">
        <f t="shared" si="1"/>
        <v>180</v>
      </c>
      <c r="M7">
        <v>1996</v>
      </c>
      <c r="N7">
        <v>1805</v>
      </c>
      <c r="O7">
        <v>180</v>
      </c>
      <c r="P7" t="str">
        <f t="shared" si="2"/>
        <v>Cachelin</v>
      </c>
      <c r="Q7" t="str">
        <f t="shared" si="3"/>
        <v>Guillaume</v>
      </c>
      <c r="R7" t="str">
        <f t="shared" si="4"/>
        <v>Guillaume</v>
      </c>
      <c r="S7" t="str">
        <f t="shared" si="5"/>
        <v>Guillaume</v>
      </c>
    </row>
    <row r="8" spans="1:19" x14ac:dyDescent="0.25">
      <c r="A8">
        <v>7</v>
      </c>
      <c r="B8" t="s">
        <v>38</v>
      </c>
      <c r="C8">
        <v>95</v>
      </c>
      <c r="D8" t="s">
        <v>39</v>
      </c>
      <c r="E8" t="s">
        <v>40</v>
      </c>
      <c r="F8" s="1">
        <v>1.2611111111111111</v>
      </c>
      <c r="G8" s="2">
        <v>0.12569444444444444</v>
      </c>
      <c r="H8" s="2"/>
      <c r="I8" s="4">
        <f>IF(C8&gt;=20, C8+1900, C8+2000)</f>
        <v>1995</v>
      </c>
      <c r="J8" s="6">
        <f t="shared" si="0"/>
        <v>1816</v>
      </c>
      <c r="K8" s="5">
        <f t="shared" si="1"/>
        <v>181</v>
      </c>
      <c r="M8">
        <v>1995</v>
      </c>
      <c r="N8">
        <v>1816</v>
      </c>
      <c r="O8">
        <v>181</v>
      </c>
      <c r="P8" t="str">
        <f t="shared" si="2"/>
        <v>Bussy</v>
      </c>
      <c r="Q8" t="str">
        <f t="shared" si="3"/>
        <v>Wondimu</v>
      </c>
      <c r="R8" t="str">
        <f t="shared" si="4"/>
        <v>Wondimu</v>
      </c>
      <c r="S8" t="str">
        <f t="shared" si="5"/>
        <v>Wondimu</v>
      </c>
    </row>
    <row r="9" spans="1:19" x14ac:dyDescent="0.25">
      <c r="A9">
        <v>8</v>
      </c>
      <c r="B9" t="s">
        <v>41</v>
      </c>
      <c r="C9">
        <v>0</v>
      </c>
      <c r="D9" t="s">
        <v>29</v>
      </c>
      <c r="E9" t="s">
        <v>30</v>
      </c>
      <c r="F9" s="1">
        <v>1.2625</v>
      </c>
      <c r="G9" s="2">
        <v>0.12569444444444444</v>
      </c>
      <c r="H9" s="2"/>
      <c r="I9" s="4">
        <f>IF(C9&gt;=20, C9+1900, C9+2000)</f>
        <v>2000</v>
      </c>
      <c r="J9" s="6">
        <f t="shared" si="0"/>
        <v>1818</v>
      </c>
      <c r="K9" s="5">
        <f t="shared" si="1"/>
        <v>181</v>
      </c>
      <c r="M9">
        <v>2000</v>
      </c>
      <c r="N9">
        <v>1818</v>
      </c>
      <c r="O9">
        <v>181</v>
      </c>
      <c r="P9" t="str">
        <f t="shared" si="2"/>
        <v>Christen</v>
      </c>
      <c r="Q9" t="str">
        <f t="shared" si="3"/>
        <v>Maurice Etienne</v>
      </c>
      <c r="R9" t="str">
        <f t="shared" si="4"/>
        <v>Maurice-Etienne</v>
      </c>
      <c r="S9" t="str">
        <f t="shared" si="5"/>
        <v>Maurice-Etienne</v>
      </c>
    </row>
    <row r="10" spans="1:19" x14ac:dyDescent="0.25">
      <c r="A10">
        <v>9</v>
      </c>
      <c r="B10" t="s">
        <v>42</v>
      </c>
      <c r="C10">
        <v>2</v>
      </c>
      <c r="D10" t="s">
        <v>43</v>
      </c>
      <c r="E10" t="s">
        <v>44</v>
      </c>
      <c r="F10" s="1">
        <v>1.2659722222222223</v>
      </c>
      <c r="G10" s="2">
        <v>0.12638888888888888</v>
      </c>
      <c r="H10" s="2"/>
      <c r="I10" s="4">
        <f>IF(C10&gt;=20, C10+1900, C10+2000)</f>
        <v>2002</v>
      </c>
      <c r="J10" s="6">
        <f t="shared" si="0"/>
        <v>1823</v>
      </c>
      <c r="K10" s="5">
        <f t="shared" si="1"/>
        <v>182</v>
      </c>
      <c r="M10">
        <v>2002</v>
      </c>
      <c r="N10">
        <v>1823</v>
      </c>
      <c r="O10">
        <v>182</v>
      </c>
      <c r="P10" t="str">
        <f t="shared" si="2"/>
        <v>Lädermann</v>
      </c>
      <c r="Q10" t="str">
        <f t="shared" si="3"/>
        <v>Léo</v>
      </c>
      <c r="R10" t="str">
        <f t="shared" si="4"/>
        <v>Léo</v>
      </c>
      <c r="S10" t="str">
        <f t="shared" si="5"/>
        <v>Léo</v>
      </c>
    </row>
    <row r="11" spans="1:19" x14ac:dyDescent="0.25">
      <c r="A11">
        <v>10</v>
      </c>
      <c r="B11" t="s">
        <v>45</v>
      </c>
      <c r="C11">
        <v>92</v>
      </c>
      <c r="D11" t="s">
        <v>46</v>
      </c>
      <c r="E11" t="s">
        <v>47</v>
      </c>
      <c r="F11" s="1">
        <v>1.26875</v>
      </c>
      <c r="G11" s="2">
        <v>0.12638888888888888</v>
      </c>
      <c r="H11" s="2"/>
      <c r="I11" s="4">
        <f>IF(C11&gt;=20, C11+1900, C11+2000)</f>
        <v>1992</v>
      </c>
      <c r="J11" s="6">
        <f t="shared" si="0"/>
        <v>1827</v>
      </c>
      <c r="K11" s="5">
        <f t="shared" si="1"/>
        <v>182</v>
      </c>
      <c r="M11">
        <v>1992</v>
      </c>
      <c r="N11">
        <v>1827</v>
      </c>
      <c r="O11">
        <v>182</v>
      </c>
      <c r="P11" t="str">
        <f t="shared" si="2"/>
        <v>Engelhardt</v>
      </c>
      <c r="Q11" t="str">
        <f t="shared" si="3"/>
        <v>Adriano</v>
      </c>
      <c r="R11" t="str">
        <f t="shared" si="4"/>
        <v>Adriano</v>
      </c>
      <c r="S11" t="str">
        <f t="shared" si="5"/>
        <v>Adriano</v>
      </c>
    </row>
    <row r="12" spans="1:19" x14ac:dyDescent="0.25">
      <c r="A12">
        <v>11</v>
      </c>
      <c r="B12" t="s">
        <v>48</v>
      </c>
      <c r="C12">
        <v>99</v>
      </c>
      <c r="D12" t="s">
        <v>49</v>
      </c>
      <c r="E12" t="s">
        <v>35</v>
      </c>
      <c r="F12" s="1">
        <v>1.2722222222222221</v>
      </c>
      <c r="G12" s="2">
        <v>0.12708333333333333</v>
      </c>
      <c r="H12" s="2"/>
      <c r="I12" s="4">
        <f>IF(C12&gt;=20, C12+1900, C12+2000)</f>
        <v>1999</v>
      </c>
      <c r="J12" s="6">
        <f t="shared" si="0"/>
        <v>1832</v>
      </c>
      <c r="K12" s="5">
        <f t="shared" si="1"/>
        <v>183</v>
      </c>
      <c r="M12">
        <v>1999</v>
      </c>
      <c r="N12">
        <v>1832</v>
      </c>
      <c r="O12">
        <v>183</v>
      </c>
      <c r="P12" t="str">
        <f t="shared" si="2"/>
        <v>Pellaz</v>
      </c>
      <c r="Q12" t="str">
        <f t="shared" si="3"/>
        <v>Loris</v>
      </c>
      <c r="R12" t="str">
        <f t="shared" si="4"/>
        <v>Loris</v>
      </c>
      <c r="S12" t="str">
        <f t="shared" si="5"/>
        <v>Loris</v>
      </c>
    </row>
    <row r="13" spans="1:19" x14ac:dyDescent="0.25">
      <c r="A13">
        <v>12</v>
      </c>
      <c r="B13" t="s">
        <v>54</v>
      </c>
      <c r="C13">
        <v>96</v>
      </c>
      <c r="D13" t="s">
        <v>55</v>
      </c>
      <c r="E13" t="s">
        <v>18</v>
      </c>
      <c r="F13" s="1">
        <v>1.2756944444444445</v>
      </c>
      <c r="G13" s="2">
        <v>0.12708333333333333</v>
      </c>
      <c r="H13" s="2"/>
      <c r="I13" s="4">
        <f>IF(C13&gt;=20, C13+1900, C13+2000)</f>
        <v>1996</v>
      </c>
      <c r="J13" s="6">
        <f t="shared" si="0"/>
        <v>1837</v>
      </c>
      <c r="K13" s="5">
        <f t="shared" si="1"/>
        <v>183</v>
      </c>
      <c r="M13">
        <v>1996</v>
      </c>
      <c r="N13">
        <v>1837</v>
      </c>
      <c r="O13">
        <v>183</v>
      </c>
      <c r="P13" t="str">
        <f t="shared" si="2"/>
        <v>Gächter</v>
      </c>
      <c r="Q13" t="str">
        <f t="shared" si="3"/>
        <v>Janis</v>
      </c>
      <c r="R13" t="str">
        <f t="shared" si="4"/>
        <v>Janis</v>
      </c>
      <c r="S13" t="str">
        <f t="shared" si="5"/>
        <v>Janis</v>
      </c>
    </row>
    <row r="14" spans="1:19" x14ac:dyDescent="0.25">
      <c r="A14">
        <v>13</v>
      </c>
      <c r="B14" t="s">
        <v>56</v>
      </c>
      <c r="C14">
        <v>94</v>
      </c>
      <c r="D14" t="s">
        <v>57</v>
      </c>
      <c r="E14" t="s">
        <v>30</v>
      </c>
      <c r="F14" s="1">
        <v>1.2763888888888888</v>
      </c>
      <c r="G14" s="2">
        <v>0.12708333333333333</v>
      </c>
      <c r="H14" s="2"/>
      <c r="I14" s="4">
        <f>IF(C14&gt;=20, C14+1900, C14+2000)</f>
        <v>1994</v>
      </c>
      <c r="J14" s="6">
        <f t="shared" si="0"/>
        <v>1838</v>
      </c>
      <c r="K14" s="5">
        <f t="shared" si="1"/>
        <v>183</v>
      </c>
      <c r="M14">
        <v>1994</v>
      </c>
      <c r="N14">
        <v>1838</v>
      </c>
      <c r="O14">
        <v>183</v>
      </c>
      <c r="P14" t="str">
        <f t="shared" si="2"/>
        <v>Lussy</v>
      </c>
      <c r="Q14" t="str">
        <f t="shared" si="3"/>
        <v>Florian</v>
      </c>
      <c r="R14" t="str">
        <f t="shared" si="4"/>
        <v>Florian</v>
      </c>
      <c r="S14" t="str">
        <f t="shared" si="5"/>
        <v>Florian</v>
      </c>
    </row>
    <row r="15" spans="1:19" x14ac:dyDescent="0.25">
      <c r="A15">
        <v>14</v>
      </c>
      <c r="B15" t="s">
        <v>61</v>
      </c>
      <c r="C15">
        <v>3</v>
      </c>
      <c r="D15" t="s">
        <v>62</v>
      </c>
      <c r="E15" t="s">
        <v>63</v>
      </c>
      <c r="F15" s="1">
        <v>1.2930555555555556</v>
      </c>
      <c r="G15" s="2">
        <v>0.12916666666666668</v>
      </c>
      <c r="H15" s="2"/>
      <c r="I15" s="4">
        <f>IF(C15&gt;=20, C15+1900, C15+2000)</f>
        <v>2003</v>
      </c>
      <c r="J15" s="6">
        <f t="shared" si="0"/>
        <v>1862</v>
      </c>
      <c r="K15" s="5">
        <f t="shared" si="1"/>
        <v>186</v>
      </c>
      <c r="M15">
        <v>2003</v>
      </c>
      <c r="N15">
        <v>1862</v>
      </c>
      <c r="O15">
        <v>186</v>
      </c>
      <c r="P15" t="str">
        <f t="shared" si="2"/>
        <v>Irarragorri</v>
      </c>
      <c r="Q15" t="str">
        <f t="shared" si="3"/>
        <v>Camilo</v>
      </c>
      <c r="R15" t="str">
        <f t="shared" si="4"/>
        <v>Camilo</v>
      </c>
      <c r="S15" t="str">
        <f t="shared" si="5"/>
        <v>Camilo</v>
      </c>
    </row>
    <row r="16" spans="1:19" x14ac:dyDescent="0.25">
      <c r="A16">
        <v>15</v>
      </c>
      <c r="B16" t="s">
        <v>64</v>
      </c>
      <c r="C16">
        <v>92</v>
      </c>
      <c r="D16" t="s">
        <v>65</v>
      </c>
      <c r="E16" t="s">
        <v>66</v>
      </c>
      <c r="F16" s="1">
        <v>1.3006944444444444</v>
      </c>
      <c r="G16" s="2">
        <v>0.12986111111111112</v>
      </c>
      <c r="H16" s="2"/>
      <c r="I16" s="4">
        <f>IF(C16&gt;=20, C16+1900, C16+2000)</f>
        <v>1992</v>
      </c>
      <c r="J16" s="6">
        <f t="shared" si="0"/>
        <v>1873</v>
      </c>
      <c r="K16" s="5">
        <f t="shared" si="1"/>
        <v>187</v>
      </c>
      <c r="M16">
        <v>1992</v>
      </c>
      <c r="N16">
        <v>1873</v>
      </c>
      <c r="O16">
        <v>187</v>
      </c>
      <c r="P16" t="str">
        <f t="shared" si="2"/>
        <v>Keller</v>
      </c>
      <c r="Q16" t="str">
        <f t="shared" si="3"/>
        <v>David</v>
      </c>
      <c r="R16" t="str">
        <f t="shared" si="4"/>
        <v>David</v>
      </c>
      <c r="S16" t="str">
        <f t="shared" si="5"/>
        <v>David</v>
      </c>
    </row>
    <row r="17" spans="1:19" x14ac:dyDescent="0.25">
      <c r="A17">
        <v>16</v>
      </c>
      <c r="B17" t="s">
        <v>67</v>
      </c>
      <c r="C17">
        <v>96</v>
      </c>
      <c r="D17" t="s">
        <v>68</v>
      </c>
      <c r="E17" t="s">
        <v>30</v>
      </c>
      <c r="F17" s="1">
        <v>1.3013888888888889</v>
      </c>
      <c r="G17" s="2">
        <v>0.12986111111111112</v>
      </c>
      <c r="H17" s="2"/>
      <c r="I17" s="4">
        <f>IF(C17&gt;=20, C17+1900, C17+2000)</f>
        <v>1996</v>
      </c>
      <c r="J17" s="6">
        <f t="shared" si="0"/>
        <v>1874</v>
      </c>
      <c r="K17" s="5">
        <f t="shared" si="1"/>
        <v>187</v>
      </c>
      <c r="M17">
        <v>1996</v>
      </c>
      <c r="N17">
        <v>1874</v>
      </c>
      <c r="O17">
        <v>187</v>
      </c>
      <c r="P17" t="str">
        <f t="shared" si="2"/>
        <v>Herren</v>
      </c>
      <c r="Q17" t="str">
        <f t="shared" si="3"/>
        <v>Dominik</v>
      </c>
      <c r="R17" t="str">
        <f t="shared" si="4"/>
        <v>Dominik</v>
      </c>
      <c r="S17" t="str">
        <f t="shared" si="5"/>
        <v>Dominik</v>
      </c>
    </row>
    <row r="18" spans="1:19" x14ac:dyDescent="0.25">
      <c r="A18">
        <v>17</v>
      </c>
      <c r="B18" t="s">
        <v>69</v>
      </c>
      <c r="C18">
        <v>94</v>
      </c>
      <c r="D18" t="s">
        <v>70</v>
      </c>
      <c r="E18" t="s">
        <v>15</v>
      </c>
      <c r="F18" s="1">
        <v>1.3062499999999999</v>
      </c>
      <c r="G18" s="2">
        <v>0.13055555555555556</v>
      </c>
      <c r="H18" s="2"/>
      <c r="I18" s="4">
        <f>IF(C18&gt;=20, C18+1900, C18+2000)</f>
        <v>1994</v>
      </c>
      <c r="J18" s="6">
        <f t="shared" si="0"/>
        <v>1881</v>
      </c>
      <c r="K18" s="5">
        <f t="shared" si="1"/>
        <v>188</v>
      </c>
      <c r="M18">
        <v>1994</v>
      </c>
      <c r="N18">
        <v>1881</v>
      </c>
      <c r="O18">
        <v>188</v>
      </c>
      <c r="P18" t="str">
        <f t="shared" si="2"/>
        <v>Coendet</v>
      </c>
      <c r="Q18" t="str">
        <f t="shared" si="3"/>
        <v>Andy</v>
      </c>
      <c r="R18" t="str">
        <f t="shared" si="4"/>
        <v>Andy</v>
      </c>
      <c r="S18" t="str">
        <f t="shared" si="5"/>
        <v>Andy</v>
      </c>
    </row>
    <row r="19" spans="1:19" x14ac:dyDescent="0.25">
      <c r="A19">
        <v>18</v>
      </c>
      <c r="B19" t="s">
        <v>71</v>
      </c>
      <c r="C19">
        <v>99</v>
      </c>
      <c r="D19" t="s">
        <v>72</v>
      </c>
      <c r="E19" t="s">
        <v>73</v>
      </c>
      <c r="F19" s="1">
        <v>1.3159722222222223</v>
      </c>
      <c r="G19" s="2">
        <v>0.13125000000000001</v>
      </c>
      <c r="H19" s="2"/>
      <c r="I19" s="4">
        <f>IF(C19&gt;=20, C19+1900, C19+2000)</f>
        <v>1999</v>
      </c>
      <c r="J19" s="6">
        <f t="shared" si="0"/>
        <v>1895</v>
      </c>
      <c r="K19" s="5">
        <f t="shared" si="1"/>
        <v>189</v>
      </c>
      <c r="M19">
        <v>1999</v>
      </c>
      <c r="N19">
        <v>1895</v>
      </c>
      <c r="O19">
        <v>189</v>
      </c>
      <c r="P19" t="str">
        <f t="shared" si="2"/>
        <v>Renner</v>
      </c>
      <c r="Q19" t="str">
        <f t="shared" si="3"/>
        <v>Roman</v>
      </c>
      <c r="R19" t="str">
        <f t="shared" si="4"/>
        <v>Roman</v>
      </c>
      <c r="S19" t="str">
        <f t="shared" si="5"/>
        <v>Roman</v>
      </c>
    </row>
    <row r="20" spans="1:19" x14ac:dyDescent="0.25">
      <c r="A20">
        <v>19</v>
      </c>
      <c r="B20" t="s">
        <v>74</v>
      </c>
      <c r="C20">
        <v>85</v>
      </c>
      <c r="D20" t="s">
        <v>32</v>
      </c>
      <c r="E20" t="s">
        <v>75</v>
      </c>
      <c r="F20" s="1">
        <v>1.3180555555555555</v>
      </c>
      <c r="G20" s="2">
        <v>0.13125000000000001</v>
      </c>
      <c r="H20" s="2"/>
      <c r="I20" s="4">
        <f>IF(C20&gt;=20, C20+1900, C20+2000)</f>
        <v>1985</v>
      </c>
      <c r="J20" s="6">
        <f t="shared" si="0"/>
        <v>1898</v>
      </c>
      <c r="K20" s="5">
        <f t="shared" si="1"/>
        <v>189</v>
      </c>
      <c r="M20">
        <v>1985</v>
      </c>
      <c r="N20">
        <v>1898</v>
      </c>
      <c r="O20">
        <v>189</v>
      </c>
      <c r="P20" t="str">
        <f t="shared" si="2"/>
        <v>Leboeuf</v>
      </c>
      <c r="Q20" t="str">
        <f t="shared" si="3"/>
        <v>François</v>
      </c>
      <c r="R20" t="str">
        <f t="shared" si="4"/>
        <v>François</v>
      </c>
      <c r="S20" t="str">
        <f t="shared" si="5"/>
        <v>François</v>
      </c>
    </row>
    <row r="21" spans="1:19" x14ac:dyDescent="0.25">
      <c r="A21">
        <v>20</v>
      </c>
      <c r="B21" t="s">
        <v>76</v>
      </c>
      <c r="C21">
        <v>3</v>
      </c>
      <c r="D21" t="s">
        <v>77</v>
      </c>
      <c r="E21" t="s">
        <v>78</v>
      </c>
      <c r="F21" s="1">
        <v>1.3194444444444444</v>
      </c>
      <c r="G21" s="2">
        <v>0.13125000000000001</v>
      </c>
      <c r="H21" s="2"/>
      <c r="I21" s="4">
        <f>IF(C21&gt;=20, C21+1900, C21+2000)</f>
        <v>2003</v>
      </c>
      <c r="J21" s="6">
        <f t="shared" si="0"/>
        <v>1900</v>
      </c>
      <c r="K21" s="5">
        <f t="shared" si="1"/>
        <v>189</v>
      </c>
      <c r="M21">
        <v>2003</v>
      </c>
      <c r="N21">
        <v>1900</v>
      </c>
      <c r="O21">
        <v>189</v>
      </c>
      <c r="P21" t="str">
        <f t="shared" si="2"/>
        <v>Schaub</v>
      </c>
      <c r="Q21" t="str">
        <f t="shared" si="3"/>
        <v>Jonas</v>
      </c>
      <c r="R21" t="str">
        <f t="shared" si="4"/>
        <v>Jonas</v>
      </c>
      <c r="S21" t="str">
        <f t="shared" si="5"/>
        <v>Jonas</v>
      </c>
    </row>
    <row r="22" spans="1:19" x14ac:dyDescent="0.25">
      <c r="A22">
        <v>21</v>
      </c>
      <c r="B22" t="s">
        <v>79</v>
      </c>
      <c r="C22">
        <v>82</v>
      </c>
      <c r="D22" t="s">
        <v>80</v>
      </c>
      <c r="E22" t="s">
        <v>66</v>
      </c>
      <c r="F22" s="1">
        <v>1.3215277777777779</v>
      </c>
      <c r="G22" s="2">
        <v>0.13194444444444445</v>
      </c>
      <c r="H22" s="2"/>
      <c r="I22" s="4">
        <f>IF(C22&gt;=20, C22+1900, C22+2000)</f>
        <v>1982</v>
      </c>
      <c r="J22" s="6">
        <f t="shared" si="0"/>
        <v>1903</v>
      </c>
      <c r="K22" s="5">
        <f t="shared" si="1"/>
        <v>190</v>
      </c>
      <c r="M22">
        <v>1982</v>
      </c>
      <c r="N22">
        <v>1903</v>
      </c>
      <c r="O22">
        <v>190</v>
      </c>
      <c r="P22" t="str">
        <f t="shared" si="2"/>
        <v>Wenk</v>
      </c>
      <c r="Q22" t="str">
        <f t="shared" si="3"/>
        <v>Stephan</v>
      </c>
      <c r="R22" t="str">
        <f t="shared" si="4"/>
        <v>Stephan</v>
      </c>
      <c r="S22" t="str">
        <f t="shared" si="5"/>
        <v>Stephan</v>
      </c>
    </row>
    <row r="23" spans="1:19" x14ac:dyDescent="0.25">
      <c r="A23">
        <v>22</v>
      </c>
      <c r="B23" t="s">
        <v>81</v>
      </c>
      <c r="C23">
        <v>98</v>
      </c>
      <c r="D23" t="s">
        <v>82</v>
      </c>
      <c r="E23" t="s">
        <v>30</v>
      </c>
      <c r="F23" s="1">
        <v>1.3229166666666667</v>
      </c>
      <c r="G23" s="2">
        <v>0.13194444444444445</v>
      </c>
      <c r="H23" s="2"/>
      <c r="I23" s="4">
        <f>IF(C23&gt;=20, C23+1900, C23+2000)</f>
        <v>1998</v>
      </c>
      <c r="J23" s="6">
        <f t="shared" si="0"/>
        <v>1905</v>
      </c>
      <c r="K23" s="5">
        <f t="shared" si="1"/>
        <v>190</v>
      </c>
      <c r="M23">
        <v>1998</v>
      </c>
      <c r="N23">
        <v>1905</v>
      </c>
      <c r="O23">
        <v>190</v>
      </c>
      <c r="P23" t="str">
        <f t="shared" si="2"/>
        <v>Christen</v>
      </c>
      <c r="Q23" t="str">
        <f t="shared" si="3"/>
        <v>Julien</v>
      </c>
      <c r="R23" t="str">
        <f t="shared" si="4"/>
        <v>Julien</v>
      </c>
      <c r="S23" t="str">
        <f t="shared" si="5"/>
        <v>Julien</v>
      </c>
    </row>
    <row r="24" spans="1:19" x14ac:dyDescent="0.25">
      <c r="A24">
        <v>23</v>
      </c>
      <c r="B24" t="s">
        <v>83</v>
      </c>
      <c r="C24">
        <v>92</v>
      </c>
      <c r="D24" t="s">
        <v>21</v>
      </c>
      <c r="E24" t="s">
        <v>66</v>
      </c>
      <c r="F24" s="1">
        <v>1.3236111111111111</v>
      </c>
      <c r="G24" s="2">
        <v>0.13194444444444445</v>
      </c>
      <c r="H24" s="2"/>
      <c r="I24" s="4">
        <f>IF(C24&gt;=20, C24+1900, C24+2000)</f>
        <v>1992</v>
      </c>
      <c r="J24" s="6">
        <f t="shared" si="0"/>
        <v>1906</v>
      </c>
      <c r="K24" s="5">
        <f t="shared" si="1"/>
        <v>190</v>
      </c>
      <c r="M24">
        <v>1992</v>
      </c>
      <c r="N24">
        <v>1906</v>
      </c>
      <c r="O24">
        <v>190</v>
      </c>
      <c r="P24" t="str">
        <f t="shared" si="2"/>
        <v>Besse</v>
      </c>
      <c r="Q24" t="str">
        <f t="shared" si="3"/>
        <v>Jean-Claude</v>
      </c>
      <c r="R24" t="str">
        <f t="shared" si="4"/>
        <v>Jean-Claude</v>
      </c>
      <c r="S24" t="str">
        <f t="shared" si="5"/>
        <v>Jean-Claude</v>
      </c>
    </row>
    <row r="25" spans="1:19" x14ac:dyDescent="0.25">
      <c r="A25">
        <v>24</v>
      </c>
      <c r="B25" t="s">
        <v>84</v>
      </c>
      <c r="C25">
        <v>1</v>
      </c>
      <c r="D25" t="s">
        <v>85</v>
      </c>
      <c r="E25" t="s">
        <v>86</v>
      </c>
      <c r="F25" s="1">
        <v>1.3243055555555556</v>
      </c>
      <c r="G25" s="2">
        <v>0.13194444444444445</v>
      </c>
      <c r="H25" s="2"/>
      <c r="I25" s="4">
        <f>IF(C25&gt;=20, C25+1900, C25+2000)</f>
        <v>2001</v>
      </c>
      <c r="J25" s="6">
        <f t="shared" si="0"/>
        <v>1907</v>
      </c>
      <c r="K25" s="5">
        <f t="shared" si="1"/>
        <v>190</v>
      </c>
      <c r="M25">
        <v>2001</v>
      </c>
      <c r="N25">
        <v>1907</v>
      </c>
      <c r="O25">
        <v>190</v>
      </c>
      <c r="P25" t="str">
        <f t="shared" si="2"/>
        <v>Mennet</v>
      </c>
      <c r="Q25" t="str">
        <f t="shared" si="3"/>
        <v>Robin</v>
      </c>
      <c r="R25" t="str">
        <f t="shared" si="4"/>
        <v>Robin</v>
      </c>
      <c r="S25" t="str">
        <f t="shared" si="5"/>
        <v>Robin</v>
      </c>
    </row>
    <row r="26" spans="1:19" x14ac:dyDescent="0.25">
      <c r="A26">
        <v>25</v>
      </c>
      <c r="B26" t="s">
        <v>87</v>
      </c>
      <c r="C26">
        <v>96</v>
      </c>
      <c r="D26" t="s">
        <v>88</v>
      </c>
      <c r="E26" t="s">
        <v>35</v>
      </c>
      <c r="F26" s="1">
        <v>1.3243055555555556</v>
      </c>
      <c r="G26" s="2">
        <v>0.13194444444444445</v>
      </c>
      <c r="H26" s="2"/>
      <c r="I26" s="4">
        <f>IF(C26&gt;=20, C26+1900, C26+2000)</f>
        <v>1996</v>
      </c>
      <c r="J26" s="6">
        <f t="shared" si="0"/>
        <v>1907</v>
      </c>
      <c r="K26" s="5">
        <f t="shared" si="1"/>
        <v>190</v>
      </c>
      <c r="M26">
        <v>1996</v>
      </c>
      <c r="N26">
        <v>1907</v>
      </c>
      <c r="O26">
        <v>190</v>
      </c>
      <c r="P26" t="str">
        <f t="shared" si="2"/>
        <v>Schönleber</v>
      </c>
      <c r="Q26" t="str">
        <f t="shared" si="3"/>
        <v>Jannis</v>
      </c>
      <c r="R26" t="str">
        <f t="shared" si="4"/>
        <v>Jannis</v>
      </c>
      <c r="S26" t="str">
        <f t="shared" si="5"/>
        <v>Jannis</v>
      </c>
    </row>
    <row r="27" spans="1:19" x14ac:dyDescent="0.25">
      <c r="A27">
        <v>26</v>
      </c>
      <c r="B27" t="s">
        <v>89</v>
      </c>
      <c r="C27">
        <v>99</v>
      </c>
      <c r="D27" t="s">
        <v>90</v>
      </c>
      <c r="E27" t="s">
        <v>91</v>
      </c>
      <c r="F27" s="1">
        <v>1.3263888888888888</v>
      </c>
      <c r="G27" s="2">
        <v>0.13194444444444445</v>
      </c>
      <c r="H27" s="2"/>
      <c r="I27" s="4">
        <f>IF(C27&gt;=20, C27+1900, C27+2000)</f>
        <v>1999</v>
      </c>
      <c r="J27" s="6">
        <f t="shared" si="0"/>
        <v>1910</v>
      </c>
      <c r="K27" s="5">
        <f t="shared" si="1"/>
        <v>190</v>
      </c>
      <c r="M27">
        <v>1999</v>
      </c>
      <c r="N27">
        <v>1910</v>
      </c>
      <c r="O27">
        <v>190</v>
      </c>
      <c r="P27" t="str">
        <f t="shared" si="2"/>
        <v>Marani</v>
      </c>
      <c r="Q27" t="str">
        <f t="shared" si="3"/>
        <v>Tommaso</v>
      </c>
      <c r="R27" t="str">
        <f t="shared" si="4"/>
        <v>Tommaso</v>
      </c>
      <c r="S27" t="str">
        <f t="shared" si="5"/>
        <v>Tommaso</v>
      </c>
    </row>
    <row r="28" spans="1:19" x14ac:dyDescent="0.25">
      <c r="A28">
        <v>27</v>
      </c>
      <c r="B28" t="s">
        <v>92</v>
      </c>
      <c r="C28">
        <v>0</v>
      </c>
      <c r="D28" t="s">
        <v>23</v>
      </c>
      <c r="E28" t="s">
        <v>24</v>
      </c>
      <c r="F28" s="1">
        <v>1.3270833333333334</v>
      </c>
      <c r="G28" s="2">
        <v>0.13194444444444445</v>
      </c>
      <c r="H28" s="2"/>
      <c r="I28" s="4">
        <f>IF(C28&gt;=20, C28+1900, C28+2000)</f>
        <v>2000</v>
      </c>
      <c r="J28" s="6">
        <f t="shared" si="0"/>
        <v>1911</v>
      </c>
      <c r="K28" s="5">
        <f t="shared" si="1"/>
        <v>190</v>
      </c>
      <c r="M28">
        <v>2000</v>
      </c>
      <c r="N28">
        <v>1911</v>
      </c>
      <c r="O28">
        <v>190</v>
      </c>
      <c r="P28" t="str">
        <f t="shared" si="2"/>
        <v>Huldi</v>
      </c>
      <c r="Q28" t="str">
        <f t="shared" si="3"/>
        <v>Samuel</v>
      </c>
      <c r="R28" t="str">
        <f t="shared" si="4"/>
        <v>Samuel</v>
      </c>
      <c r="S28" t="str">
        <f t="shared" si="5"/>
        <v>Samuel</v>
      </c>
    </row>
    <row r="29" spans="1:19" x14ac:dyDescent="0.25">
      <c r="A29">
        <v>28</v>
      </c>
      <c r="B29" t="s">
        <v>93</v>
      </c>
      <c r="C29">
        <v>4</v>
      </c>
      <c r="D29" t="s">
        <v>94</v>
      </c>
      <c r="E29" t="s">
        <v>95</v>
      </c>
      <c r="F29" s="1">
        <v>1.3291666666666666</v>
      </c>
      <c r="G29" s="2">
        <v>0.13263888888888889</v>
      </c>
      <c r="H29" s="2"/>
      <c r="I29" s="4">
        <f>IF(C29&gt;=20, C29+1900, C29+2000)</f>
        <v>2004</v>
      </c>
      <c r="J29" s="6">
        <f t="shared" si="0"/>
        <v>1914</v>
      </c>
      <c r="K29" s="5">
        <f t="shared" si="1"/>
        <v>191</v>
      </c>
      <c r="M29">
        <v>2004</v>
      </c>
      <c r="N29">
        <v>1914</v>
      </c>
      <c r="O29">
        <v>191</v>
      </c>
      <c r="P29" t="str">
        <f t="shared" si="2"/>
        <v>Freitag</v>
      </c>
      <c r="Q29" t="str">
        <f t="shared" si="3"/>
        <v>Nino</v>
      </c>
      <c r="R29" t="str">
        <f t="shared" si="4"/>
        <v>Nino</v>
      </c>
      <c r="S29" t="str">
        <f t="shared" si="5"/>
        <v>Nino</v>
      </c>
    </row>
    <row r="30" spans="1:19" x14ac:dyDescent="0.25">
      <c r="A30">
        <v>29</v>
      </c>
      <c r="B30" t="s">
        <v>96</v>
      </c>
      <c r="C30">
        <v>1</v>
      </c>
      <c r="D30" t="s">
        <v>97</v>
      </c>
      <c r="F30" s="1">
        <v>1.3298611111111112</v>
      </c>
      <c r="G30" s="2">
        <v>0.13263888888888889</v>
      </c>
      <c r="H30" s="2"/>
      <c r="I30" s="4">
        <f>IF(C30&gt;=20, C30+1900, C30+2000)</f>
        <v>2001</v>
      </c>
      <c r="J30" s="6">
        <f t="shared" si="0"/>
        <v>1915</v>
      </c>
      <c r="K30" s="5">
        <f t="shared" si="1"/>
        <v>191</v>
      </c>
      <c r="M30">
        <v>2001</v>
      </c>
      <c r="N30">
        <v>1915</v>
      </c>
      <c r="O30">
        <v>191</v>
      </c>
      <c r="P30" t="str">
        <f t="shared" si="2"/>
        <v>Alagona</v>
      </c>
      <c r="Q30" t="str">
        <f t="shared" si="3"/>
        <v>Andrea</v>
      </c>
      <c r="R30" t="str">
        <f t="shared" si="4"/>
        <v>Andrea</v>
      </c>
      <c r="S30" t="str">
        <f t="shared" si="5"/>
        <v>Andrea</v>
      </c>
    </row>
    <row r="31" spans="1:19" x14ac:dyDescent="0.25">
      <c r="A31">
        <v>30</v>
      </c>
      <c r="B31" t="s">
        <v>98</v>
      </c>
      <c r="C31">
        <v>78</v>
      </c>
      <c r="D31" t="s">
        <v>99</v>
      </c>
      <c r="E31" t="s">
        <v>100</v>
      </c>
      <c r="F31" s="1">
        <v>1.33125</v>
      </c>
      <c r="G31" s="2">
        <v>0.13263888888888889</v>
      </c>
      <c r="H31" s="2"/>
      <c r="I31" s="4">
        <f>IF(C31&gt;=20, C31+1900, C31+2000)</f>
        <v>1978</v>
      </c>
      <c r="J31" s="6">
        <f t="shared" si="0"/>
        <v>1917</v>
      </c>
      <c r="K31" s="5">
        <f t="shared" si="1"/>
        <v>191</v>
      </c>
      <c r="M31">
        <v>1978</v>
      </c>
      <c r="N31">
        <v>1917</v>
      </c>
      <c r="O31">
        <v>191</v>
      </c>
      <c r="P31" t="str">
        <f t="shared" si="2"/>
        <v>Da</v>
      </c>
      <c r="Q31" t="str">
        <f t="shared" si="3"/>
        <v>Silva Miguel</v>
      </c>
      <c r="R31" t="str">
        <f t="shared" si="4"/>
        <v>Silva-Miguel</v>
      </c>
      <c r="S31" t="str">
        <f t="shared" si="5"/>
        <v>Silva-Miguel</v>
      </c>
    </row>
    <row r="32" spans="1:19" x14ac:dyDescent="0.25">
      <c r="A32">
        <v>31</v>
      </c>
      <c r="B32" t="s">
        <v>101</v>
      </c>
      <c r="C32">
        <v>88</v>
      </c>
      <c r="D32" t="s">
        <v>102</v>
      </c>
      <c r="E32" t="s">
        <v>103</v>
      </c>
      <c r="F32" s="1">
        <v>1.33125</v>
      </c>
      <c r="G32" s="2">
        <v>0.13263888888888889</v>
      </c>
      <c r="H32" s="2"/>
      <c r="I32" s="4">
        <f>IF(C32&gt;=20, C32+1900, C32+2000)</f>
        <v>1988</v>
      </c>
      <c r="J32" s="6">
        <f t="shared" si="0"/>
        <v>1917</v>
      </c>
      <c r="K32" s="5">
        <f t="shared" si="1"/>
        <v>191</v>
      </c>
      <c r="M32">
        <v>1988</v>
      </c>
      <c r="N32">
        <v>1917</v>
      </c>
      <c r="O32">
        <v>191</v>
      </c>
      <c r="P32" t="str">
        <f t="shared" si="2"/>
        <v>Gmür</v>
      </c>
      <c r="Q32" t="str">
        <f t="shared" si="3"/>
        <v>Chrigi</v>
      </c>
      <c r="R32" t="str">
        <f t="shared" si="4"/>
        <v>Chrigi</v>
      </c>
      <c r="S32" t="str">
        <f t="shared" si="5"/>
        <v>Chrigi</v>
      </c>
    </row>
    <row r="33" spans="1:19" x14ac:dyDescent="0.25">
      <c r="A33">
        <v>32</v>
      </c>
      <c r="B33" t="s">
        <v>104</v>
      </c>
      <c r="C33">
        <v>3</v>
      </c>
      <c r="D33" t="s">
        <v>105</v>
      </c>
      <c r="E33" t="s">
        <v>18</v>
      </c>
      <c r="F33" s="1">
        <v>1.3319444444444444</v>
      </c>
      <c r="G33" s="2">
        <v>0.13263888888888889</v>
      </c>
      <c r="H33" s="2"/>
      <c r="I33" s="4">
        <f>IF(C33&gt;=20, C33+1900, C33+2000)</f>
        <v>2003</v>
      </c>
      <c r="J33" s="6">
        <f t="shared" si="0"/>
        <v>1918</v>
      </c>
      <c r="K33" s="5">
        <f t="shared" si="1"/>
        <v>191</v>
      </c>
      <c r="M33">
        <v>2003</v>
      </c>
      <c r="N33">
        <v>1918</v>
      </c>
      <c r="O33">
        <v>191</v>
      </c>
      <c r="P33" t="str">
        <f t="shared" si="2"/>
        <v>Kaufmann</v>
      </c>
      <c r="Q33" t="str">
        <f t="shared" si="3"/>
        <v>Loris</v>
      </c>
      <c r="R33" t="str">
        <f t="shared" si="4"/>
        <v>Loris</v>
      </c>
      <c r="S33" t="str">
        <f t="shared" si="5"/>
        <v>Loris</v>
      </c>
    </row>
    <row r="34" spans="1:19" x14ac:dyDescent="0.25">
      <c r="A34">
        <v>33</v>
      </c>
      <c r="B34" t="s">
        <v>106</v>
      </c>
      <c r="C34">
        <v>96</v>
      </c>
      <c r="D34" t="s">
        <v>107</v>
      </c>
      <c r="E34" t="s">
        <v>35</v>
      </c>
      <c r="F34" s="1">
        <v>1.3319444444444444</v>
      </c>
      <c r="G34" s="2">
        <v>0.13263888888888889</v>
      </c>
      <c r="H34" s="2"/>
      <c r="I34" s="4">
        <f>IF(C34&gt;=20, C34+1900, C34+2000)</f>
        <v>1996</v>
      </c>
      <c r="J34" s="6">
        <f t="shared" si="0"/>
        <v>1918</v>
      </c>
      <c r="K34" s="5">
        <f t="shared" si="1"/>
        <v>191</v>
      </c>
      <c r="M34">
        <v>1996</v>
      </c>
      <c r="N34">
        <v>1918</v>
      </c>
      <c r="O34">
        <v>191</v>
      </c>
      <c r="P34" t="str">
        <f t="shared" si="2"/>
        <v>Ulrich</v>
      </c>
      <c r="Q34" t="str">
        <f t="shared" si="3"/>
        <v>Stefan</v>
      </c>
      <c r="R34" t="str">
        <f t="shared" si="4"/>
        <v>Stefan</v>
      </c>
      <c r="S34" t="str">
        <f t="shared" si="5"/>
        <v>Stefan</v>
      </c>
    </row>
    <row r="35" spans="1:19" x14ac:dyDescent="0.25">
      <c r="A35">
        <v>34</v>
      </c>
      <c r="B35" t="s">
        <v>108</v>
      </c>
      <c r="C35">
        <v>99</v>
      </c>
      <c r="D35" t="s">
        <v>109</v>
      </c>
      <c r="E35" t="s">
        <v>110</v>
      </c>
      <c r="F35" s="1">
        <v>1.3326388888888889</v>
      </c>
      <c r="G35" s="2">
        <v>0.13263888888888889</v>
      </c>
      <c r="H35" s="2"/>
      <c r="I35" s="4">
        <f>IF(C35&gt;=20, C35+1900, C35+2000)</f>
        <v>1999</v>
      </c>
      <c r="J35" s="6">
        <f t="shared" si="0"/>
        <v>1919</v>
      </c>
      <c r="K35" s="5">
        <f t="shared" si="1"/>
        <v>191</v>
      </c>
      <c r="M35">
        <v>1999</v>
      </c>
      <c r="N35">
        <v>1919</v>
      </c>
      <c r="O35">
        <v>191</v>
      </c>
      <c r="P35" t="str">
        <f t="shared" si="2"/>
        <v>Monney</v>
      </c>
      <c r="Q35" t="str">
        <f t="shared" si="3"/>
        <v>Sylvain</v>
      </c>
      <c r="R35" t="str">
        <f t="shared" si="4"/>
        <v>Sylvain</v>
      </c>
      <c r="S35" t="str">
        <f t="shared" si="5"/>
        <v>Sylvain</v>
      </c>
    </row>
    <row r="36" spans="1:19" x14ac:dyDescent="0.25">
      <c r="A36">
        <v>35</v>
      </c>
      <c r="B36" t="s">
        <v>111</v>
      </c>
      <c r="C36">
        <v>87</v>
      </c>
      <c r="D36" t="s">
        <v>112</v>
      </c>
      <c r="E36" t="s">
        <v>113</v>
      </c>
      <c r="F36" s="1">
        <v>1.3326388888888889</v>
      </c>
      <c r="G36" s="2">
        <v>0.13263888888888889</v>
      </c>
      <c r="H36" s="2"/>
      <c r="I36" s="4">
        <f>IF(C36&gt;=20, C36+1900, C36+2000)</f>
        <v>1987</v>
      </c>
      <c r="J36" s="6">
        <f t="shared" si="0"/>
        <v>1919</v>
      </c>
      <c r="K36" s="5">
        <f t="shared" si="1"/>
        <v>191</v>
      </c>
      <c r="M36">
        <v>1987</v>
      </c>
      <c r="N36">
        <v>1919</v>
      </c>
      <c r="O36">
        <v>191</v>
      </c>
      <c r="P36" t="str">
        <f t="shared" si="2"/>
        <v>Amstutz</v>
      </c>
      <c r="Q36" t="str">
        <f t="shared" si="3"/>
        <v>Timon</v>
      </c>
      <c r="R36" t="str">
        <f t="shared" si="4"/>
        <v>Timon</v>
      </c>
      <c r="S36" t="str">
        <f t="shared" si="5"/>
        <v>Timon</v>
      </c>
    </row>
    <row r="37" spans="1:19" x14ac:dyDescent="0.25">
      <c r="A37">
        <v>36</v>
      </c>
      <c r="B37" t="s">
        <v>114</v>
      </c>
      <c r="C37">
        <v>4</v>
      </c>
      <c r="D37" t="s">
        <v>115</v>
      </c>
      <c r="E37" t="s">
        <v>116</v>
      </c>
      <c r="F37" s="1">
        <v>1.3374999999999999</v>
      </c>
      <c r="G37" s="2">
        <v>0.13333333333333333</v>
      </c>
      <c r="H37" s="2"/>
      <c r="I37" s="4">
        <f>IF(C37&gt;=20, C37+1900, C37+2000)</f>
        <v>2004</v>
      </c>
      <c r="J37" s="6">
        <f t="shared" si="0"/>
        <v>1926</v>
      </c>
      <c r="K37" s="5">
        <f t="shared" si="1"/>
        <v>192</v>
      </c>
      <c r="M37">
        <v>2004</v>
      </c>
      <c r="N37">
        <v>1926</v>
      </c>
      <c r="O37">
        <v>192</v>
      </c>
      <c r="P37" t="str">
        <f t="shared" si="2"/>
        <v>Marti</v>
      </c>
      <c r="Q37" t="str">
        <f t="shared" si="3"/>
        <v>Mickael</v>
      </c>
      <c r="R37" t="str">
        <f t="shared" si="4"/>
        <v>Mickael</v>
      </c>
      <c r="S37" t="str">
        <f t="shared" si="5"/>
        <v>Mickael</v>
      </c>
    </row>
    <row r="38" spans="1:19" x14ac:dyDescent="0.25">
      <c r="A38">
        <v>37</v>
      </c>
      <c r="B38" t="s">
        <v>117</v>
      </c>
      <c r="C38">
        <v>98</v>
      </c>
      <c r="D38" t="s">
        <v>118</v>
      </c>
      <c r="F38" s="1">
        <v>1.3409722222222222</v>
      </c>
      <c r="G38" s="2">
        <v>0.13333333333333333</v>
      </c>
      <c r="H38" s="2"/>
      <c r="I38" s="4">
        <f>IF(C38&gt;=20, C38+1900, C38+2000)</f>
        <v>1998</v>
      </c>
      <c r="J38" s="6">
        <f t="shared" si="0"/>
        <v>1931</v>
      </c>
      <c r="K38" s="5">
        <f t="shared" si="1"/>
        <v>192</v>
      </c>
      <c r="M38">
        <v>1998</v>
      </c>
      <c r="N38">
        <v>1931</v>
      </c>
      <c r="O38">
        <v>192</v>
      </c>
      <c r="P38" t="str">
        <f t="shared" si="2"/>
        <v>Niederhauser</v>
      </c>
      <c r="Q38" t="str">
        <f t="shared" si="3"/>
        <v>Thibault</v>
      </c>
      <c r="R38" t="str">
        <f t="shared" si="4"/>
        <v>Thibault</v>
      </c>
      <c r="S38" t="str">
        <f t="shared" si="5"/>
        <v>Thibault</v>
      </c>
    </row>
    <row r="39" spans="1:19" x14ac:dyDescent="0.25">
      <c r="A39">
        <v>38</v>
      </c>
      <c r="B39" t="s">
        <v>119</v>
      </c>
      <c r="C39">
        <v>95</v>
      </c>
      <c r="D39" t="s">
        <v>21</v>
      </c>
      <c r="E39" t="s">
        <v>66</v>
      </c>
      <c r="F39" s="1">
        <v>1.3444444444444446</v>
      </c>
      <c r="G39" s="2">
        <v>0.13402777777777777</v>
      </c>
      <c r="H39" s="2"/>
      <c r="I39" s="4">
        <f>IF(C39&gt;=20, C39+1900, C39+2000)</f>
        <v>1995</v>
      </c>
      <c r="J39" s="6">
        <f t="shared" si="0"/>
        <v>1936</v>
      </c>
      <c r="K39" s="5">
        <f t="shared" si="1"/>
        <v>193</v>
      </c>
      <c r="M39">
        <v>1995</v>
      </c>
      <c r="N39">
        <v>1936</v>
      </c>
      <c r="O39">
        <v>193</v>
      </c>
      <c r="P39" t="str">
        <f t="shared" si="2"/>
        <v>Chalus</v>
      </c>
      <c r="Q39" t="str">
        <f t="shared" si="3"/>
        <v>François</v>
      </c>
      <c r="R39" t="str">
        <f t="shared" si="4"/>
        <v>François</v>
      </c>
      <c r="S39" t="str">
        <f t="shared" si="5"/>
        <v>François</v>
      </c>
    </row>
    <row r="40" spans="1:19" x14ac:dyDescent="0.25">
      <c r="A40">
        <v>39</v>
      </c>
      <c r="B40" t="s">
        <v>120</v>
      </c>
      <c r="C40">
        <v>86</v>
      </c>
      <c r="D40" t="s">
        <v>21</v>
      </c>
      <c r="E40" t="s">
        <v>121</v>
      </c>
      <c r="F40" s="1">
        <v>1.3458333333333334</v>
      </c>
      <c r="G40" s="2">
        <v>0.13402777777777777</v>
      </c>
      <c r="H40" s="2"/>
      <c r="I40" s="4">
        <f>IF(C40&gt;=20, C40+1900, C40+2000)</f>
        <v>1986</v>
      </c>
      <c r="J40" s="6">
        <f t="shared" si="0"/>
        <v>1938</v>
      </c>
      <c r="K40" s="5">
        <f t="shared" si="1"/>
        <v>193</v>
      </c>
      <c r="M40">
        <v>1986</v>
      </c>
      <c r="N40">
        <v>1938</v>
      </c>
      <c r="O40">
        <v>193</v>
      </c>
      <c r="P40" t="str">
        <f t="shared" si="2"/>
        <v>Hutterli</v>
      </c>
      <c r="Q40" t="str">
        <f t="shared" si="3"/>
        <v>Loris</v>
      </c>
      <c r="R40" t="str">
        <f t="shared" si="4"/>
        <v>Loris</v>
      </c>
      <c r="S40" t="str">
        <f t="shared" si="5"/>
        <v>Loris</v>
      </c>
    </row>
    <row r="41" spans="1:19" x14ac:dyDescent="0.25">
      <c r="A41">
        <v>40</v>
      </c>
      <c r="B41" t="s">
        <v>122</v>
      </c>
      <c r="C41">
        <v>0</v>
      </c>
      <c r="D41" t="s">
        <v>123</v>
      </c>
      <c r="E41" t="s">
        <v>124</v>
      </c>
      <c r="F41" s="1">
        <v>1.3465277777777778</v>
      </c>
      <c r="G41" s="2">
        <v>0.13402777777777777</v>
      </c>
      <c r="H41" s="2"/>
      <c r="I41" s="4">
        <f>IF(C41&gt;=20, C41+1900, C41+2000)</f>
        <v>2000</v>
      </c>
      <c r="J41" s="6">
        <f t="shared" si="0"/>
        <v>1939</v>
      </c>
      <c r="K41" s="5">
        <f t="shared" si="1"/>
        <v>193</v>
      </c>
      <c r="M41">
        <v>2000</v>
      </c>
      <c r="N41">
        <v>1939</v>
      </c>
      <c r="O41">
        <v>193</v>
      </c>
      <c r="P41" t="str">
        <f t="shared" si="2"/>
        <v>Benz</v>
      </c>
      <c r="Q41" t="str">
        <f t="shared" si="3"/>
        <v>Fabian</v>
      </c>
      <c r="R41" t="str">
        <f t="shared" si="4"/>
        <v>Fabian</v>
      </c>
      <c r="S41" t="str">
        <f t="shared" si="5"/>
        <v>Fabian</v>
      </c>
    </row>
    <row r="42" spans="1:19" x14ac:dyDescent="0.25">
      <c r="A42">
        <v>41</v>
      </c>
      <c r="B42" t="s">
        <v>125</v>
      </c>
      <c r="C42">
        <v>0</v>
      </c>
      <c r="D42" t="s">
        <v>126</v>
      </c>
      <c r="E42" t="s">
        <v>127</v>
      </c>
      <c r="F42" s="1">
        <v>1.3493055555555555</v>
      </c>
      <c r="G42" s="2">
        <v>0.13402777777777777</v>
      </c>
      <c r="H42" s="2"/>
      <c r="I42" s="4">
        <f>IF(C42&gt;=20, C42+1900, C42+2000)</f>
        <v>2000</v>
      </c>
      <c r="J42" s="6">
        <f t="shared" si="0"/>
        <v>1943</v>
      </c>
      <c r="K42" s="5">
        <f t="shared" si="1"/>
        <v>193</v>
      </c>
      <c r="M42">
        <v>2000</v>
      </c>
      <c r="N42">
        <v>1943</v>
      </c>
      <c r="O42">
        <v>193</v>
      </c>
      <c r="P42" t="str">
        <f t="shared" si="2"/>
        <v>Rotzetter</v>
      </c>
      <c r="Q42" t="str">
        <f t="shared" si="3"/>
        <v>Marc</v>
      </c>
      <c r="R42" t="str">
        <f t="shared" si="4"/>
        <v>Marc</v>
      </c>
      <c r="S42" t="str">
        <f t="shared" si="5"/>
        <v>Marc</v>
      </c>
    </row>
    <row r="43" spans="1:19" x14ac:dyDescent="0.25">
      <c r="A43">
        <v>42</v>
      </c>
      <c r="B43" t="s">
        <v>128</v>
      </c>
      <c r="C43">
        <v>75</v>
      </c>
      <c r="D43" t="s">
        <v>129</v>
      </c>
      <c r="E43" t="s">
        <v>130</v>
      </c>
      <c r="F43" s="1">
        <v>1.35</v>
      </c>
      <c r="G43" s="2">
        <v>0.13472222222222222</v>
      </c>
      <c r="H43" s="2"/>
      <c r="I43" s="4">
        <f>IF(C43&gt;=20, C43+1900, C43+2000)</f>
        <v>1975</v>
      </c>
      <c r="J43" s="6">
        <f t="shared" si="0"/>
        <v>1944</v>
      </c>
      <c r="K43" s="5">
        <f t="shared" si="1"/>
        <v>194</v>
      </c>
      <c r="M43">
        <v>1975</v>
      </c>
      <c r="N43">
        <v>1944</v>
      </c>
      <c r="O43">
        <v>194</v>
      </c>
      <c r="P43" t="str">
        <f t="shared" si="2"/>
        <v>Jauch</v>
      </c>
      <c r="Q43" t="str">
        <f t="shared" si="3"/>
        <v>Manfred</v>
      </c>
      <c r="R43" t="str">
        <f t="shared" si="4"/>
        <v>Manfred</v>
      </c>
      <c r="S43" t="str">
        <f t="shared" si="5"/>
        <v>Manfred</v>
      </c>
    </row>
    <row r="44" spans="1:19" x14ac:dyDescent="0.25">
      <c r="A44">
        <v>43</v>
      </c>
      <c r="B44" t="s">
        <v>131</v>
      </c>
      <c r="C44">
        <v>93</v>
      </c>
      <c r="D44" t="s">
        <v>132</v>
      </c>
      <c r="E44" t="s">
        <v>18</v>
      </c>
      <c r="F44" s="1">
        <v>1.3548611111111111</v>
      </c>
      <c r="G44" s="2">
        <v>0.13472222222222222</v>
      </c>
      <c r="H44" s="2"/>
      <c r="I44" s="4">
        <f>IF(C44&gt;=20, C44+1900, C44+2000)</f>
        <v>1993</v>
      </c>
      <c r="J44" s="6">
        <f t="shared" si="0"/>
        <v>1951</v>
      </c>
      <c r="K44" s="5">
        <f t="shared" si="1"/>
        <v>194</v>
      </c>
      <c r="M44">
        <v>1993</v>
      </c>
      <c r="N44">
        <v>1951</v>
      </c>
      <c r="O44">
        <v>194</v>
      </c>
      <c r="P44" t="str">
        <f t="shared" si="2"/>
        <v>Gossauer</v>
      </c>
      <c r="Q44" t="str">
        <f t="shared" si="3"/>
        <v>Jens-Michael</v>
      </c>
      <c r="R44" t="str">
        <f t="shared" si="4"/>
        <v>Jens-Michael</v>
      </c>
      <c r="S44" t="str">
        <f t="shared" si="5"/>
        <v>Jens-Michael</v>
      </c>
    </row>
    <row r="45" spans="1:19" x14ac:dyDescent="0.25">
      <c r="A45">
        <v>44</v>
      </c>
      <c r="B45" t="s">
        <v>133</v>
      </c>
      <c r="C45">
        <v>92</v>
      </c>
      <c r="D45" t="s">
        <v>134</v>
      </c>
      <c r="E45" t="s">
        <v>135</v>
      </c>
      <c r="F45" s="1">
        <v>1.35625</v>
      </c>
      <c r="G45" s="2">
        <v>0.13541666666666666</v>
      </c>
      <c r="H45" s="2"/>
      <c r="I45" s="4">
        <f>IF(C45&gt;=20, C45+1900, C45+2000)</f>
        <v>1992</v>
      </c>
      <c r="J45" s="6">
        <f t="shared" si="0"/>
        <v>1953</v>
      </c>
      <c r="K45" s="5">
        <f t="shared" si="1"/>
        <v>195</v>
      </c>
      <c r="M45">
        <v>1992</v>
      </c>
      <c r="N45">
        <v>1953</v>
      </c>
      <c r="O45">
        <v>195</v>
      </c>
      <c r="P45" t="str">
        <f t="shared" si="2"/>
        <v>Baggenstos</v>
      </c>
      <c r="Q45" t="str">
        <f t="shared" si="3"/>
        <v>Tobias</v>
      </c>
      <c r="R45" t="str">
        <f t="shared" si="4"/>
        <v>Tobias</v>
      </c>
      <c r="S45" t="str">
        <f t="shared" si="5"/>
        <v>Tobias</v>
      </c>
    </row>
    <row r="46" spans="1:19" x14ac:dyDescent="0.25">
      <c r="A46">
        <v>45</v>
      </c>
      <c r="B46" t="s">
        <v>136</v>
      </c>
      <c r="C46">
        <v>87</v>
      </c>
      <c r="D46" t="s">
        <v>137</v>
      </c>
      <c r="F46" s="1">
        <v>1.3569444444444445</v>
      </c>
      <c r="G46" s="2">
        <v>0.13541666666666666</v>
      </c>
      <c r="H46" s="2"/>
      <c r="I46" s="4">
        <f>IF(C46&gt;=20, C46+1900, C46+2000)</f>
        <v>1987</v>
      </c>
      <c r="J46" s="6">
        <f t="shared" si="0"/>
        <v>1954</v>
      </c>
      <c r="K46" s="5">
        <f t="shared" si="1"/>
        <v>195</v>
      </c>
      <c r="M46">
        <v>1987</v>
      </c>
      <c r="N46">
        <v>1954</v>
      </c>
      <c r="O46">
        <v>195</v>
      </c>
      <c r="P46" t="str">
        <f t="shared" si="2"/>
        <v>Josef</v>
      </c>
      <c r="Q46" t="str">
        <f t="shared" si="3"/>
        <v>Raphael</v>
      </c>
      <c r="R46" t="str">
        <f t="shared" si="4"/>
        <v>Raphael</v>
      </c>
      <c r="S46" t="str">
        <f t="shared" si="5"/>
        <v>Raphael</v>
      </c>
    </row>
    <row r="47" spans="1:19" x14ac:dyDescent="0.25">
      <c r="A47">
        <v>46</v>
      </c>
      <c r="B47" t="s">
        <v>138</v>
      </c>
      <c r="C47">
        <v>99</v>
      </c>
      <c r="D47" t="s">
        <v>139</v>
      </c>
      <c r="E47" t="s">
        <v>140</v>
      </c>
      <c r="F47" s="1">
        <v>1.3576388888888888</v>
      </c>
      <c r="G47" s="2">
        <v>0.13541666666666666</v>
      </c>
      <c r="H47" s="2"/>
      <c r="I47" s="4">
        <f>IF(C47&gt;=20, C47+1900, C47+2000)</f>
        <v>1999</v>
      </c>
      <c r="J47" s="6">
        <f t="shared" si="0"/>
        <v>1955</v>
      </c>
      <c r="K47" s="5">
        <f t="shared" si="1"/>
        <v>195</v>
      </c>
      <c r="M47">
        <v>1999</v>
      </c>
      <c r="N47">
        <v>1955</v>
      </c>
      <c r="O47">
        <v>195</v>
      </c>
      <c r="P47" t="str">
        <f t="shared" si="2"/>
        <v>Torche</v>
      </c>
      <c r="Q47" t="str">
        <f t="shared" si="3"/>
        <v>Julien</v>
      </c>
      <c r="R47" t="str">
        <f t="shared" si="4"/>
        <v>Julien</v>
      </c>
      <c r="S47" t="str">
        <f t="shared" si="5"/>
        <v>Julien</v>
      </c>
    </row>
    <row r="48" spans="1:19" x14ac:dyDescent="0.25">
      <c r="A48">
        <v>47</v>
      </c>
      <c r="B48" t="s">
        <v>141</v>
      </c>
      <c r="C48">
        <v>87</v>
      </c>
      <c r="D48" t="s">
        <v>142</v>
      </c>
      <c r="E48" t="s">
        <v>15</v>
      </c>
      <c r="F48" s="1">
        <v>1.3583333333333334</v>
      </c>
      <c r="G48" s="2">
        <v>0.13541666666666666</v>
      </c>
      <c r="H48" s="2"/>
      <c r="I48" s="4">
        <f>IF(C48&gt;=20, C48+1900, C48+2000)</f>
        <v>1987</v>
      </c>
      <c r="J48" s="6">
        <f t="shared" si="0"/>
        <v>1956</v>
      </c>
      <c r="K48" s="5">
        <f t="shared" si="1"/>
        <v>195</v>
      </c>
      <c r="M48">
        <v>1987</v>
      </c>
      <c r="N48">
        <v>1956</v>
      </c>
      <c r="O48">
        <v>195</v>
      </c>
      <c r="P48" t="str">
        <f t="shared" si="2"/>
        <v>Pinto</v>
      </c>
      <c r="Q48" t="str">
        <f t="shared" si="3"/>
        <v>Ricardo</v>
      </c>
      <c r="R48" t="str">
        <f t="shared" si="4"/>
        <v>Ricardo</v>
      </c>
      <c r="S48" t="str">
        <f t="shared" si="5"/>
        <v>Ricardo</v>
      </c>
    </row>
    <row r="49" spans="1:19" x14ac:dyDescent="0.25">
      <c r="A49">
        <v>48</v>
      </c>
      <c r="B49" t="s">
        <v>143</v>
      </c>
      <c r="C49">
        <v>1</v>
      </c>
      <c r="D49" t="s">
        <v>144</v>
      </c>
      <c r="E49" t="s">
        <v>145</v>
      </c>
      <c r="F49" s="1">
        <v>1.3604166666666666</v>
      </c>
      <c r="G49" s="2">
        <v>0.13541666666666666</v>
      </c>
      <c r="H49" s="2"/>
      <c r="I49" s="4">
        <f>IF(C49&gt;=20, C49+1900, C49+2000)</f>
        <v>2001</v>
      </c>
      <c r="J49" s="6">
        <f t="shared" si="0"/>
        <v>1959</v>
      </c>
      <c r="K49" s="5">
        <f t="shared" si="1"/>
        <v>195</v>
      </c>
      <c r="M49">
        <v>2001</v>
      </c>
      <c r="N49">
        <v>1959</v>
      </c>
      <c r="O49">
        <v>195</v>
      </c>
      <c r="P49" t="str">
        <f t="shared" si="2"/>
        <v>Gilliéron</v>
      </c>
      <c r="Q49" t="str">
        <f t="shared" si="3"/>
        <v>Clément</v>
      </c>
      <c r="R49" t="str">
        <f t="shared" si="4"/>
        <v>Clément</v>
      </c>
      <c r="S49" t="str">
        <f t="shared" si="5"/>
        <v>Clément</v>
      </c>
    </row>
    <row r="50" spans="1:19" x14ac:dyDescent="0.25">
      <c r="A50">
        <v>49</v>
      </c>
      <c r="B50" t="s">
        <v>146</v>
      </c>
      <c r="C50">
        <v>84</v>
      </c>
      <c r="D50" t="s">
        <v>147</v>
      </c>
      <c r="E50" t="s">
        <v>148</v>
      </c>
      <c r="F50" s="1">
        <v>1.367361111111111</v>
      </c>
      <c r="G50" s="2">
        <v>0.1361111111111111</v>
      </c>
      <c r="H50" s="2"/>
      <c r="I50" s="4">
        <f>IF(C50&gt;=20, C50+1900, C50+2000)</f>
        <v>1984</v>
      </c>
      <c r="J50" s="6">
        <f t="shared" si="0"/>
        <v>1969</v>
      </c>
      <c r="K50" s="5">
        <f t="shared" si="1"/>
        <v>196</v>
      </c>
      <c r="M50">
        <v>1984</v>
      </c>
      <c r="N50">
        <v>1969</v>
      </c>
      <c r="O50">
        <v>196</v>
      </c>
      <c r="P50" t="str">
        <f t="shared" si="2"/>
        <v>Marti</v>
      </c>
      <c r="Q50" t="str">
        <f t="shared" si="3"/>
        <v>Sven</v>
      </c>
      <c r="R50" t="str">
        <f t="shared" si="4"/>
        <v>Sven</v>
      </c>
      <c r="S50" t="str">
        <f t="shared" si="5"/>
        <v>Sven</v>
      </c>
    </row>
    <row r="51" spans="1:19" x14ac:dyDescent="0.25">
      <c r="A51">
        <v>50</v>
      </c>
      <c r="B51" t="s">
        <v>149</v>
      </c>
      <c r="C51">
        <v>95</v>
      </c>
      <c r="D51" t="s">
        <v>21</v>
      </c>
      <c r="E51" t="s">
        <v>86</v>
      </c>
      <c r="F51" s="1">
        <v>1.3694444444444445</v>
      </c>
      <c r="G51" s="2">
        <v>0.1361111111111111</v>
      </c>
      <c r="H51" s="2"/>
      <c r="I51" s="4">
        <f>IF(C51&gt;=20, C51+1900, C51+2000)</f>
        <v>1995</v>
      </c>
      <c r="J51" s="6">
        <f t="shared" si="0"/>
        <v>1972</v>
      </c>
      <c r="K51" s="5">
        <f t="shared" si="1"/>
        <v>196</v>
      </c>
      <c r="M51">
        <v>1995</v>
      </c>
      <c r="N51">
        <v>1972</v>
      </c>
      <c r="O51">
        <v>196</v>
      </c>
      <c r="P51" t="str">
        <f t="shared" si="2"/>
        <v>Leugger</v>
      </c>
      <c r="Q51" t="str">
        <f t="shared" si="3"/>
        <v>Flurin</v>
      </c>
      <c r="R51" t="str">
        <f t="shared" si="4"/>
        <v>Flurin</v>
      </c>
      <c r="S51" t="str">
        <f t="shared" si="5"/>
        <v>Flurin</v>
      </c>
    </row>
    <row r="52" spans="1:19" x14ac:dyDescent="0.25">
      <c r="A52">
        <v>51</v>
      </c>
      <c r="B52" t="s">
        <v>150</v>
      </c>
      <c r="C52">
        <v>3</v>
      </c>
      <c r="D52" t="s">
        <v>151</v>
      </c>
      <c r="E52" t="s">
        <v>152</v>
      </c>
      <c r="F52" s="1">
        <v>1.3722222222222222</v>
      </c>
      <c r="G52" s="2">
        <v>0.13680555555555557</v>
      </c>
      <c r="H52" s="2"/>
      <c r="I52" s="4">
        <f>IF(C52&gt;=20, C52+1900, C52+2000)</f>
        <v>2003</v>
      </c>
      <c r="J52" s="6">
        <f t="shared" si="0"/>
        <v>1976</v>
      </c>
      <c r="K52" s="5">
        <f t="shared" si="1"/>
        <v>197</v>
      </c>
      <c r="M52">
        <v>2003</v>
      </c>
      <c r="N52">
        <v>1976</v>
      </c>
      <c r="O52">
        <v>197</v>
      </c>
      <c r="P52" t="str">
        <f t="shared" si="2"/>
        <v>Schnider</v>
      </c>
      <c r="Q52" t="str">
        <f t="shared" si="3"/>
        <v>Lars</v>
      </c>
      <c r="R52" t="str">
        <f t="shared" si="4"/>
        <v>Lars</v>
      </c>
      <c r="S52" t="str">
        <f t="shared" si="5"/>
        <v>Lars</v>
      </c>
    </row>
    <row r="53" spans="1:19" x14ac:dyDescent="0.25">
      <c r="A53">
        <v>52</v>
      </c>
      <c r="B53" t="s">
        <v>153</v>
      </c>
      <c r="C53">
        <v>2</v>
      </c>
      <c r="D53" t="s">
        <v>154</v>
      </c>
      <c r="E53" t="s">
        <v>18</v>
      </c>
      <c r="F53" s="1">
        <v>1.3743055555555554</v>
      </c>
      <c r="G53" s="2">
        <v>0.13680555555555557</v>
      </c>
      <c r="H53" s="2"/>
      <c r="I53" s="4">
        <f>IF(C53&gt;=20, C53+1900, C53+2000)</f>
        <v>2002</v>
      </c>
      <c r="J53" s="6">
        <f t="shared" si="0"/>
        <v>1979</v>
      </c>
      <c r="K53" s="5">
        <f t="shared" si="1"/>
        <v>197</v>
      </c>
      <c r="M53">
        <v>2002</v>
      </c>
      <c r="N53">
        <v>1979</v>
      </c>
      <c r="O53">
        <v>197</v>
      </c>
      <c r="P53" t="str">
        <f t="shared" si="2"/>
        <v>Rüttimann</v>
      </c>
      <c r="Q53" t="str">
        <f t="shared" si="3"/>
        <v>Cyrill</v>
      </c>
      <c r="R53" t="str">
        <f t="shared" si="4"/>
        <v>Cyrill</v>
      </c>
      <c r="S53" t="str">
        <f t="shared" si="5"/>
        <v>Cyrill</v>
      </c>
    </row>
    <row r="54" spans="1:19" x14ac:dyDescent="0.25">
      <c r="A54">
        <v>53</v>
      </c>
      <c r="B54" t="s">
        <v>155</v>
      </c>
      <c r="C54">
        <v>98</v>
      </c>
      <c r="D54" t="s">
        <v>156</v>
      </c>
      <c r="E54" t="s">
        <v>157</v>
      </c>
      <c r="F54" s="1">
        <v>1.3763888888888889</v>
      </c>
      <c r="G54" s="2">
        <v>0.13750000000000001</v>
      </c>
      <c r="H54" s="2"/>
      <c r="I54" s="4">
        <f>IF(C54&gt;=20, C54+1900, C54+2000)</f>
        <v>1998</v>
      </c>
      <c r="J54" s="6">
        <f t="shared" si="0"/>
        <v>1982</v>
      </c>
      <c r="K54" s="5">
        <f t="shared" si="1"/>
        <v>198</v>
      </c>
      <c r="M54">
        <v>1998</v>
      </c>
      <c r="N54">
        <v>1982</v>
      </c>
      <c r="O54">
        <v>198</v>
      </c>
      <c r="P54" t="str">
        <f t="shared" si="2"/>
        <v>Meyer</v>
      </c>
      <c r="Q54" t="str">
        <f t="shared" si="3"/>
        <v>Cedric</v>
      </c>
      <c r="R54" t="str">
        <f t="shared" si="4"/>
        <v>Cedric</v>
      </c>
      <c r="S54" t="str">
        <f t="shared" si="5"/>
        <v>Cedric</v>
      </c>
    </row>
    <row r="55" spans="1:19" x14ac:dyDescent="0.25">
      <c r="A55">
        <v>54</v>
      </c>
      <c r="B55" t="s">
        <v>158</v>
      </c>
      <c r="C55">
        <v>4</v>
      </c>
      <c r="D55" t="s">
        <v>94</v>
      </c>
      <c r="E55" t="s">
        <v>95</v>
      </c>
      <c r="F55" s="1">
        <v>1.3763888888888889</v>
      </c>
      <c r="G55" s="2">
        <v>0.13680555555555557</v>
      </c>
      <c r="H55" s="2"/>
      <c r="I55" s="4">
        <f>IF(C55&gt;=20, C55+1900, C55+2000)</f>
        <v>2004</v>
      </c>
      <c r="J55" s="6">
        <f t="shared" si="0"/>
        <v>1982</v>
      </c>
      <c r="K55" s="5">
        <f t="shared" si="1"/>
        <v>197</v>
      </c>
      <c r="M55">
        <v>2004</v>
      </c>
      <c r="N55">
        <v>1982</v>
      </c>
      <c r="O55">
        <v>197</v>
      </c>
      <c r="P55" t="str">
        <f t="shared" si="2"/>
        <v>Knaus</v>
      </c>
      <c r="Q55" t="str">
        <f t="shared" si="3"/>
        <v>David</v>
      </c>
      <c r="R55" t="str">
        <f t="shared" si="4"/>
        <v>David</v>
      </c>
      <c r="S55" t="str">
        <f t="shared" si="5"/>
        <v>David</v>
      </c>
    </row>
    <row r="56" spans="1:19" x14ac:dyDescent="0.25">
      <c r="A56">
        <v>55</v>
      </c>
      <c r="B56" t="s">
        <v>159</v>
      </c>
      <c r="C56">
        <v>98</v>
      </c>
      <c r="D56" t="s">
        <v>160</v>
      </c>
      <c r="E56" t="s">
        <v>18</v>
      </c>
      <c r="F56" s="1">
        <v>1.3770833333333334</v>
      </c>
      <c r="G56" s="2">
        <v>0.13750000000000001</v>
      </c>
      <c r="H56" s="2"/>
      <c r="I56" s="4">
        <f>IF(C56&gt;=20, C56+1900, C56+2000)</f>
        <v>1998</v>
      </c>
      <c r="J56" s="6">
        <f t="shared" si="0"/>
        <v>1983</v>
      </c>
      <c r="K56" s="5">
        <f t="shared" si="1"/>
        <v>198</v>
      </c>
      <c r="M56">
        <v>1998</v>
      </c>
      <c r="N56">
        <v>1983</v>
      </c>
      <c r="O56">
        <v>198</v>
      </c>
      <c r="P56" t="str">
        <f t="shared" si="2"/>
        <v>Mayer</v>
      </c>
      <c r="Q56" t="str">
        <f t="shared" si="3"/>
        <v>Rey Despenzia Samuel</v>
      </c>
      <c r="R56" t="str">
        <f t="shared" si="4"/>
        <v>Rey-Despenzia-Samuel</v>
      </c>
      <c r="S56" t="str">
        <f t="shared" si="5"/>
        <v>Rey-Despenzia-Samuel</v>
      </c>
    </row>
    <row r="57" spans="1:19" x14ac:dyDescent="0.25">
      <c r="A57">
        <v>56</v>
      </c>
      <c r="B57" t="s">
        <v>161</v>
      </c>
      <c r="C57">
        <v>87</v>
      </c>
      <c r="D57" t="s">
        <v>162</v>
      </c>
      <c r="E57" t="s">
        <v>163</v>
      </c>
      <c r="F57" s="1">
        <v>1.3784722222222223</v>
      </c>
      <c r="G57" s="2">
        <v>0.13750000000000001</v>
      </c>
      <c r="H57" s="2"/>
      <c r="I57" s="4">
        <f>IF(C57&gt;=20, C57+1900, C57+2000)</f>
        <v>1987</v>
      </c>
      <c r="J57" s="6">
        <f t="shared" si="0"/>
        <v>1985</v>
      </c>
      <c r="K57" s="5">
        <f t="shared" si="1"/>
        <v>198</v>
      </c>
      <c r="M57">
        <v>1987</v>
      </c>
      <c r="N57">
        <v>1985</v>
      </c>
      <c r="O57">
        <v>198</v>
      </c>
      <c r="P57" t="str">
        <f t="shared" si="2"/>
        <v>Arnold</v>
      </c>
      <c r="Q57" t="str">
        <f t="shared" si="3"/>
        <v>Philipp</v>
      </c>
      <c r="R57" t="str">
        <f t="shared" si="4"/>
        <v>Philipp</v>
      </c>
      <c r="S57" t="str">
        <f t="shared" si="5"/>
        <v>Philipp</v>
      </c>
    </row>
    <row r="58" spans="1:19" x14ac:dyDescent="0.25">
      <c r="A58">
        <v>57</v>
      </c>
      <c r="B58" t="s">
        <v>164</v>
      </c>
      <c r="C58">
        <v>79</v>
      </c>
      <c r="D58" t="s">
        <v>165</v>
      </c>
      <c r="E58" t="s">
        <v>66</v>
      </c>
      <c r="F58" s="1">
        <v>1.3812500000000001</v>
      </c>
      <c r="G58" s="2">
        <v>0.13750000000000001</v>
      </c>
      <c r="H58" s="2"/>
      <c r="I58" s="4">
        <f>IF(C58&gt;=20, C58+1900, C58+2000)</f>
        <v>1979</v>
      </c>
      <c r="J58" s="6">
        <f t="shared" si="0"/>
        <v>1989</v>
      </c>
      <c r="K58" s="5">
        <f t="shared" si="1"/>
        <v>198</v>
      </c>
      <c r="M58">
        <v>1979</v>
      </c>
      <c r="N58">
        <v>1989</v>
      </c>
      <c r="O58">
        <v>198</v>
      </c>
      <c r="P58" t="str">
        <f t="shared" si="2"/>
        <v>Castiglioni</v>
      </c>
      <c r="Q58" t="str">
        <f t="shared" si="3"/>
        <v>Luca</v>
      </c>
      <c r="R58" t="str">
        <f t="shared" si="4"/>
        <v>Luca</v>
      </c>
      <c r="S58" t="str">
        <f t="shared" si="5"/>
        <v>Luca</v>
      </c>
    </row>
    <row r="59" spans="1:19" x14ac:dyDescent="0.25">
      <c r="A59">
        <v>58</v>
      </c>
      <c r="B59" t="s">
        <v>166</v>
      </c>
      <c r="C59">
        <v>92</v>
      </c>
      <c r="D59" t="s">
        <v>167</v>
      </c>
      <c r="E59" t="s">
        <v>163</v>
      </c>
      <c r="F59" s="1">
        <v>1.3840277777777779</v>
      </c>
      <c r="G59" s="2">
        <v>0.13750000000000001</v>
      </c>
      <c r="H59" s="2"/>
      <c r="I59" s="4">
        <f>IF(C59&gt;=20, C59+1900, C59+2000)</f>
        <v>1992</v>
      </c>
      <c r="J59" s="6">
        <f t="shared" si="0"/>
        <v>1993</v>
      </c>
      <c r="K59" s="5">
        <f t="shared" si="1"/>
        <v>198</v>
      </c>
      <c r="M59">
        <v>1992</v>
      </c>
      <c r="N59">
        <v>1993</v>
      </c>
      <c r="O59">
        <v>198</v>
      </c>
      <c r="P59" t="str">
        <f t="shared" si="2"/>
        <v>Kostyuchenko</v>
      </c>
      <c r="Q59" t="str">
        <f t="shared" si="3"/>
        <v>Nikita</v>
      </c>
      <c r="R59" t="str">
        <f t="shared" si="4"/>
        <v>Nikita</v>
      </c>
      <c r="S59" t="str">
        <f t="shared" si="5"/>
        <v>Nikita</v>
      </c>
    </row>
    <row r="60" spans="1:19" x14ac:dyDescent="0.25">
      <c r="A60">
        <v>59</v>
      </c>
      <c r="B60" t="s">
        <v>168</v>
      </c>
      <c r="C60">
        <v>1</v>
      </c>
      <c r="D60" t="s">
        <v>29</v>
      </c>
      <c r="E60" t="s">
        <v>113</v>
      </c>
      <c r="F60" s="1">
        <v>1.3840277777777779</v>
      </c>
      <c r="G60" s="2">
        <v>0.13750000000000001</v>
      </c>
      <c r="H60" s="2"/>
      <c r="I60" s="4">
        <f>IF(C60&gt;=20, C60+1900, C60+2000)</f>
        <v>2001</v>
      </c>
      <c r="J60" s="6">
        <f t="shared" si="0"/>
        <v>1993</v>
      </c>
      <c r="K60" s="5">
        <f t="shared" si="1"/>
        <v>198</v>
      </c>
      <c r="M60">
        <v>2001</v>
      </c>
      <c r="N60">
        <v>1993</v>
      </c>
      <c r="O60">
        <v>198</v>
      </c>
      <c r="P60" t="str">
        <f t="shared" si="2"/>
        <v>Stuker</v>
      </c>
      <c r="Q60" t="str">
        <f t="shared" si="3"/>
        <v>Leo</v>
      </c>
      <c r="R60" t="str">
        <f t="shared" si="4"/>
        <v>Leo</v>
      </c>
      <c r="S60" t="str">
        <f t="shared" si="5"/>
        <v>Leo</v>
      </c>
    </row>
    <row r="61" spans="1:19" x14ac:dyDescent="0.25">
      <c r="A61">
        <v>60</v>
      </c>
      <c r="B61" t="s">
        <v>169</v>
      </c>
      <c r="C61">
        <v>95</v>
      </c>
      <c r="D61" t="s">
        <v>170</v>
      </c>
      <c r="E61" t="s">
        <v>171</v>
      </c>
      <c r="F61" s="1">
        <v>1.3868055555555556</v>
      </c>
      <c r="G61" s="2">
        <v>0.13819444444444445</v>
      </c>
      <c r="H61" s="2"/>
      <c r="I61" s="4">
        <f>IF(C61&gt;=20, C61+1900, C61+2000)</f>
        <v>1995</v>
      </c>
      <c r="J61" s="6">
        <f t="shared" si="0"/>
        <v>1997</v>
      </c>
      <c r="K61" s="5">
        <f t="shared" si="1"/>
        <v>199</v>
      </c>
      <c r="M61">
        <v>1995</v>
      </c>
      <c r="N61">
        <v>1997</v>
      </c>
      <c r="O61">
        <v>199</v>
      </c>
      <c r="P61" t="str">
        <f t="shared" si="2"/>
        <v>Werder</v>
      </c>
      <c r="Q61" t="str">
        <f t="shared" si="3"/>
        <v>Dario</v>
      </c>
      <c r="R61" t="str">
        <f t="shared" si="4"/>
        <v>Dario</v>
      </c>
      <c r="S61" t="str">
        <f t="shared" si="5"/>
        <v>Dario</v>
      </c>
    </row>
    <row r="62" spans="1:19" x14ac:dyDescent="0.25">
      <c r="A62">
        <v>61</v>
      </c>
      <c r="B62" t="s">
        <v>172</v>
      </c>
      <c r="C62">
        <v>95</v>
      </c>
      <c r="D62" t="s">
        <v>173</v>
      </c>
      <c r="E62" t="s">
        <v>66</v>
      </c>
      <c r="F62" s="1">
        <v>1.3895833333333334</v>
      </c>
      <c r="G62" s="2">
        <v>0.13819444444444445</v>
      </c>
      <c r="H62" s="2"/>
      <c r="I62" s="4">
        <f>IF(C62&gt;=20, C62+1900, C62+2000)</f>
        <v>1995</v>
      </c>
      <c r="J62" s="6">
        <f t="shared" si="0"/>
        <v>2001</v>
      </c>
      <c r="K62" s="5">
        <f t="shared" si="1"/>
        <v>199</v>
      </c>
      <c r="M62">
        <v>1995</v>
      </c>
      <c r="N62">
        <v>2001</v>
      </c>
      <c r="O62">
        <v>199</v>
      </c>
      <c r="P62" t="str">
        <f t="shared" si="2"/>
        <v>Ott</v>
      </c>
      <c r="Q62" t="str">
        <f t="shared" si="3"/>
        <v>Marcel</v>
      </c>
      <c r="R62" t="str">
        <f t="shared" si="4"/>
        <v>Marcel</v>
      </c>
      <c r="S62" t="str">
        <f t="shared" si="5"/>
        <v>Marcel</v>
      </c>
    </row>
    <row r="63" spans="1:19" x14ac:dyDescent="0.25">
      <c r="A63">
        <v>62</v>
      </c>
      <c r="B63" t="s">
        <v>174</v>
      </c>
      <c r="C63">
        <v>3</v>
      </c>
      <c r="D63" t="s">
        <v>10</v>
      </c>
      <c r="E63" t="s">
        <v>11</v>
      </c>
      <c r="F63" s="1">
        <v>1.3895833333333334</v>
      </c>
      <c r="G63" s="2">
        <v>0.13819444444444445</v>
      </c>
      <c r="H63" s="2"/>
      <c r="I63" s="4">
        <f>IF(C63&gt;=20, C63+1900, C63+2000)</f>
        <v>2003</v>
      </c>
      <c r="J63" s="6">
        <f t="shared" si="0"/>
        <v>2001</v>
      </c>
      <c r="K63" s="5">
        <f t="shared" si="1"/>
        <v>199</v>
      </c>
      <c r="M63">
        <v>2003</v>
      </c>
      <c r="N63">
        <v>2001</v>
      </c>
      <c r="O63">
        <v>199</v>
      </c>
      <c r="P63" t="str">
        <f t="shared" si="2"/>
        <v>Gerber</v>
      </c>
      <c r="Q63" t="str">
        <f t="shared" si="3"/>
        <v>Tobias</v>
      </c>
      <c r="R63" t="str">
        <f t="shared" si="4"/>
        <v>Tobias</v>
      </c>
      <c r="S63" t="str">
        <f t="shared" si="5"/>
        <v>Tobias</v>
      </c>
    </row>
    <row r="64" spans="1:19" x14ac:dyDescent="0.25">
      <c r="A64">
        <v>63</v>
      </c>
      <c r="B64" t="s">
        <v>175</v>
      </c>
      <c r="C64">
        <v>96</v>
      </c>
      <c r="D64" t="s">
        <v>72</v>
      </c>
      <c r="E64" t="s">
        <v>73</v>
      </c>
      <c r="F64" s="1">
        <v>1.3895833333333334</v>
      </c>
      <c r="G64" s="2">
        <v>0.13819444444444445</v>
      </c>
      <c r="H64" s="2"/>
      <c r="I64" s="4">
        <f>IF(C64&gt;=20, C64+1900, C64+2000)</f>
        <v>1996</v>
      </c>
      <c r="J64" s="6">
        <f t="shared" si="0"/>
        <v>2001</v>
      </c>
      <c r="K64" s="5">
        <f t="shared" si="1"/>
        <v>199</v>
      </c>
      <c r="M64">
        <v>1996</v>
      </c>
      <c r="N64">
        <v>2001</v>
      </c>
      <c r="O64">
        <v>199</v>
      </c>
      <c r="P64" t="str">
        <f t="shared" si="2"/>
        <v>Renner</v>
      </c>
      <c r="Q64" t="str">
        <f t="shared" si="3"/>
        <v>Philipp</v>
      </c>
      <c r="R64" t="str">
        <f t="shared" si="4"/>
        <v>Philipp</v>
      </c>
      <c r="S64" t="str">
        <f t="shared" si="5"/>
        <v>Philipp</v>
      </c>
    </row>
    <row r="65" spans="1:19" x14ac:dyDescent="0.25">
      <c r="A65">
        <v>64</v>
      </c>
      <c r="B65" t="s">
        <v>177</v>
      </c>
      <c r="C65">
        <v>0</v>
      </c>
      <c r="D65" t="s">
        <v>178</v>
      </c>
      <c r="F65" s="1">
        <v>1.3909722222222223</v>
      </c>
      <c r="G65" s="2">
        <v>0.13819444444444445</v>
      </c>
      <c r="H65" s="2"/>
      <c r="I65" s="4">
        <f>IF(C65&gt;=20, C65+1900, C65+2000)</f>
        <v>2000</v>
      </c>
      <c r="J65" s="6">
        <f t="shared" si="0"/>
        <v>2003</v>
      </c>
      <c r="K65" s="5">
        <f t="shared" si="1"/>
        <v>199</v>
      </c>
      <c r="M65">
        <v>2000</v>
      </c>
      <c r="N65">
        <v>2003</v>
      </c>
      <c r="O65">
        <v>199</v>
      </c>
      <c r="P65" t="str">
        <f t="shared" si="2"/>
        <v>Maret</v>
      </c>
      <c r="Q65" t="str">
        <f t="shared" si="3"/>
        <v>Clément</v>
      </c>
      <c r="R65" t="str">
        <f t="shared" si="4"/>
        <v>Clément</v>
      </c>
      <c r="S65" t="str">
        <f t="shared" si="5"/>
        <v>Clément</v>
      </c>
    </row>
    <row r="66" spans="1:19" x14ac:dyDescent="0.25">
      <c r="A66">
        <v>65</v>
      </c>
      <c r="B66" t="s">
        <v>179</v>
      </c>
      <c r="C66">
        <v>4</v>
      </c>
      <c r="D66" t="s">
        <v>39</v>
      </c>
      <c r="E66" t="s">
        <v>180</v>
      </c>
      <c r="F66" s="1">
        <v>1.3944444444444444</v>
      </c>
      <c r="G66" s="2">
        <v>0.1388888888888889</v>
      </c>
      <c r="H66" s="2"/>
      <c r="I66" s="4">
        <f>IF(C66&gt;=20, C66+1900, C66+2000)</f>
        <v>2004</v>
      </c>
      <c r="J66" s="6">
        <f t="shared" si="0"/>
        <v>2008</v>
      </c>
      <c r="K66" s="5">
        <f t="shared" si="1"/>
        <v>200</v>
      </c>
      <c r="M66">
        <v>2004</v>
      </c>
      <c r="N66">
        <v>2008</v>
      </c>
      <c r="O66">
        <v>200</v>
      </c>
      <c r="P66" t="str">
        <f t="shared" si="2"/>
        <v>Maurer</v>
      </c>
      <c r="Q66" t="str">
        <f t="shared" si="3"/>
        <v>Paul</v>
      </c>
      <c r="R66" t="str">
        <f t="shared" si="4"/>
        <v>Paul</v>
      </c>
      <c r="S66" t="str">
        <f t="shared" si="5"/>
        <v>Paul</v>
      </c>
    </row>
    <row r="67" spans="1:19" x14ac:dyDescent="0.25">
      <c r="A67">
        <v>66</v>
      </c>
      <c r="B67" t="s">
        <v>181</v>
      </c>
      <c r="C67">
        <v>76</v>
      </c>
      <c r="D67" t="s">
        <v>132</v>
      </c>
      <c r="E67" t="s">
        <v>66</v>
      </c>
      <c r="F67" s="1">
        <v>1.3951388888888889</v>
      </c>
      <c r="G67" s="2">
        <v>0.1388888888888889</v>
      </c>
      <c r="H67" s="2"/>
      <c r="I67" s="4">
        <f>IF(C67&gt;=20, C67+1900, C67+2000)</f>
        <v>1976</v>
      </c>
      <c r="J67" s="6">
        <f t="shared" ref="J67:J101" si="6">(HOUR(F67)+24)*60 + MINUTE(F67)</f>
        <v>2009</v>
      </c>
      <c r="K67" s="5">
        <f t="shared" ref="K67:K101" si="7">HOUR(G67)*60 + MINUTE(G67)</f>
        <v>200</v>
      </c>
      <c r="M67">
        <v>1976</v>
      </c>
      <c r="N67">
        <v>2009</v>
      </c>
      <c r="O67">
        <v>200</v>
      </c>
      <c r="P67" t="str">
        <f t="shared" ref="P67:P101" si="8">LEFT(B67, FIND(" ", B67) - 1)</f>
        <v>Oliver</v>
      </c>
      <c r="Q67" t="str">
        <f t="shared" ref="Q67:Q101" si="9">RIGHT(B67, LEN(B67) - FIND(" ", B67))</f>
        <v>Rubén</v>
      </c>
      <c r="R67" t="str">
        <f t="shared" ref="R67:R101" si="10">SUBSTITUTE(Q67, " ", "-")</f>
        <v>Rubén</v>
      </c>
      <c r="S67" t="str">
        <f t="shared" ref="S67:S101" si="11">SUBSTITUTE(RIGHT(B67, LEN(B67) - FIND(" ", B67)), " ", "-")</f>
        <v>Rubén</v>
      </c>
    </row>
    <row r="68" spans="1:19" x14ac:dyDescent="0.25">
      <c r="A68">
        <v>67</v>
      </c>
      <c r="B68" t="s">
        <v>182</v>
      </c>
      <c r="C68">
        <v>99</v>
      </c>
      <c r="D68" t="s">
        <v>183</v>
      </c>
      <c r="E68" t="s">
        <v>184</v>
      </c>
      <c r="F68" s="1">
        <v>1.3958333333333333</v>
      </c>
      <c r="G68" s="2">
        <v>0.1388888888888889</v>
      </c>
      <c r="H68" s="2"/>
      <c r="I68" s="4">
        <f>IF(C68&gt;=20, C68+1900, C68+2000)</f>
        <v>1999</v>
      </c>
      <c r="J68" s="6">
        <f t="shared" si="6"/>
        <v>2010</v>
      </c>
      <c r="K68" s="5">
        <f t="shared" si="7"/>
        <v>200</v>
      </c>
      <c r="M68">
        <v>1999</v>
      </c>
      <c r="N68">
        <v>2010</v>
      </c>
      <c r="O68">
        <v>200</v>
      </c>
      <c r="P68" t="str">
        <f t="shared" si="8"/>
        <v>Schönbächler</v>
      </c>
      <c r="Q68" t="str">
        <f t="shared" si="9"/>
        <v>Emanuel</v>
      </c>
      <c r="R68" t="str">
        <f t="shared" si="10"/>
        <v>Emanuel</v>
      </c>
      <c r="S68" t="str">
        <f t="shared" si="11"/>
        <v>Emanuel</v>
      </c>
    </row>
    <row r="69" spans="1:19" x14ac:dyDescent="0.25">
      <c r="A69">
        <v>68</v>
      </c>
      <c r="B69" t="s">
        <v>185</v>
      </c>
      <c r="C69">
        <v>87</v>
      </c>
      <c r="D69" t="s">
        <v>10</v>
      </c>
      <c r="E69" t="s">
        <v>11</v>
      </c>
      <c r="F69" s="1">
        <v>1.3958333333333333</v>
      </c>
      <c r="G69" s="2">
        <v>0.1388888888888889</v>
      </c>
      <c r="H69" s="2"/>
      <c r="I69" s="4">
        <f>IF(C69&gt;=20, C69+1900, C69+2000)</f>
        <v>1987</v>
      </c>
      <c r="J69" s="6">
        <f t="shared" si="6"/>
        <v>2010</v>
      </c>
      <c r="K69" s="5">
        <f t="shared" si="7"/>
        <v>200</v>
      </c>
      <c r="M69">
        <v>1987</v>
      </c>
      <c r="N69">
        <v>2010</v>
      </c>
      <c r="O69">
        <v>200</v>
      </c>
      <c r="P69" t="str">
        <f t="shared" si="8"/>
        <v>Schönenberger</v>
      </c>
      <c r="Q69" t="str">
        <f t="shared" si="9"/>
        <v>Simon</v>
      </c>
      <c r="R69" t="str">
        <f t="shared" si="10"/>
        <v>Simon</v>
      </c>
      <c r="S69" t="str">
        <f t="shared" si="11"/>
        <v>Simon</v>
      </c>
    </row>
    <row r="70" spans="1:19" x14ac:dyDescent="0.25">
      <c r="A70">
        <v>69</v>
      </c>
      <c r="B70" t="s">
        <v>186</v>
      </c>
      <c r="C70">
        <v>90</v>
      </c>
      <c r="D70" t="s">
        <v>187</v>
      </c>
      <c r="F70" s="1">
        <v>1.3965277777777778</v>
      </c>
      <c r="G70" s="2">
        <v>0.1388888888888889</v>
      </c>
      <c r="H70" s="2"/>
      <c r="I70" s="4">
        <f>IF(C70&gt;=20, C70+1900, C70+2000)</f>
        <v>1990</v>
      </c>
      <c r="J70" s="6">
        <f t="shared" si="6"/>
        <v>2011</v>
      </c>
      <c r="K70" s="5">
        <f t="shared" si="7"/>
        <v>200</v>
      </c>
      <c r="M70">
        <v>1990</v>
      </c>
      <c r="N70">
        <v>2011</v>
      </c>
      <c r="O70">
        <v>200</v>
      </c>
      <c r="P70" t="str">
        <f t="shared" si="8"/>
        <v>Marquart</v>
      </c>
      <c r="Q70" t="str">
        <f t="shared" si="9"/>
        <v>Artho</v>
      </c>
      <c r="R70" t="str">
        <f t="shared" si="10"/>
        <v>Artho</v>
      </c>
      <c r="S70" t="str">
        <f t="shared" si="11"/>
        <v>Artho</v>
      </c>
    </row>
    <row r="71" spans="1:19" x14ac:dyDescent="0.25">
      <c r="A71">
        <v>70</v>
      </c>
      <c r="B71" t="s">
        <v>188</v>
      </c>
      <c r="C71">
        <v>4</v>
      </c>
      <c r="D71" t="s">
        <v>94</v>
      </c>
      <c r="E71" t="s">
        <v>95</v>
      </c>
      <c r="F71" s="1">
        <v>1.3965277777777778</v>
      </c>
      <c r="G71" s="2">
        <v>0.1388888888888889</v>
      </c>
      <c r="H71" s="2"/>
      <c r="I71" s="4">
        <f>IF(C71&gt;=20, C71+1900, C71+2000)</f>
        <v>2004</v>
      </c>
      <c r="J71" s="6">
        <f t="shared" si="6"/>
        <v>2011</v>
      </c>
      <c r="K71" s="5">
        <f t="shared" si="7"/>
        <v>200</v>
      </c>
      <c r="M71">
        <v>2004</v>
      </c>
      <c r="N71">
        <v>2011</v>
      </c>
      <c r="O71">
        <v>200</v>
      </c>
      <c r="P71" t="str">
        <f t="shared" si="8"/>
        <v>Wolfensberger</v>
      </c>
      <c r="Q71" t="str">
        <f t="shared" si="9"/>
        <v>Simon</v>
      </c>
      <c r="R71" t="str">
        <f t="shared" si="10"/>
        <v>Simon</v>
      </c>
      <c r="S71" t="str">
        <f t="shared" si="11"/>
        <v>Simon</v>
      </c>
    </row>
    <row r="72" spans="1:19" x14ac:dyDescent="0.25">
      <c r="A72">
        <v>71</v>
      </c>
      <c r="B72" t="s">
        <v>189</v>
      </c>
      <c r="C72">
        <v>94</v>
      </c>
      <c r="D72" t="s">
        <v>190</v>
      </c>
      <c r="E72" t="s">
        <v>35</v>
      </c>
      <c r="F72" s="1">
        <v>1.3979166666666667</v>
      </c>
      <c r="G72" s="2">
        <v>0.13958333333333334</v>
      </c>
      <c r="H72" s="2"/>
      <c r="I72" s="4">
        <f>IF(C72&gt;=20, C72+1900, C72+2000)</f>
        <v>1994</v>
      </c>
      <c r="J72" s="6">
        <f t="shared" si="6"/>
        <v>2013</v>
      </c>
      <c r="K72" s="5">
        <f t="shared" si="7"/>
        <v>201</v>
      </c>
      <c r="M72">
        <v>1994</v>
      </c>
      <c r="N72">
        <v>2013</v>
      </c>
      <c r="O72">
        <v>201</v>
      </c>
      <c r="P72" t="str">
        <f t="shared" si="8"/>
        <v>Morgenthaler</v>
      </c>
      <c r="Q72" t="str">
        <f t="shared" si="9"/>
        <v>Joël</v>
      </c>
      <c r="R72" t="str">
        <f t="shared" si="10"/>
        <v>Joël</v>
      </c>
      <c r="S72" t="str">
        <f t="shared" si="11"/>
        <v>Joël</v>
      </c>
    </row>
    <row r="73" spans="1:19" x14ac:dyDescent="0.25">
      <c r="A73">
        <v>72</v>
      </c>
      <c r="B73" t="s">
        <v>191</v>
      </c>
      <c r="C73">
        <v>2</v>
      </c>
      <c r="D73" t="s">
        <v>10</v>
      </c>
      <c r="E73" t="s">
        <v>11</v>
      </c>
      <c r="F73" s="1">
        <v>1.4013888888888888</v>
      </c>
      <c r="G73" s="2">
        <v>0.13958333333333334</v>
      </c>
      <c r="H73" s="2"/>
      <c r="I73" s="4">
        <f>IF(C73&gt;=20, C73+1900, C73+2000)</f>
        <v>2002</v>
      </c>
      <c r="J73" s="6">
        <f t="shared" si="6"/>
        <v>2018</v>
      </c>
      <c r="K73" s="5">
        <f t="shared" si="7"/>
        <v>201</v>
      </c>
      <c r="M73">
        <v>2002</v>
      </c>
      <c r="N73">
        <v>2018</v>
      </c>
      <c r="O73">
        <v>201</v>
      </c>
      <c r="P73" t="str">
        <f t="shared" si="8"/>
        <v>Parfuss</v>
      </c>
      <c r="Q73" t="str">
        <f t="shared" si="9"/>
        <v>Florin</v>
      </c>
      <c r="R73" t="str">
        <f t="shared" si="10"/>
        <v>Florin</v>
      </c>
      <c r="S73" t="str">
        <f t="shared" si="11"/>
        <v>Florin</v>
      </c>
    </row>
    <row r="74" spans="1:19" x14ac:dyDescent="0.25">
      <c r="A74">
        <v>73</v>
      </c>
      <c r="B74" t="s">
        <v>192</v>
      </c>
      <c r="C74">
        <v>77</v>
      </c>
      <c r="D74" t="s">
        <v>193</v>
      </c>
      <c r="F74" s="1">
        <v>1.4027777777777777</v>
      </c>
      <c r="G74" s="2">
        <v>0.13958333333333334</v>
      </c>
      <c r="H74" s="2"/>
      <c r="I74" s="4">
        <f>IF(C74&gt;=20, C74+1900, C74+2000)</f>
        <v>1977</v>
      </c>
      <c r="J74" s="6">
        <f t="shared" si="6"/>
        <v>2020</v>
      </c>
      <c r="K74" s="5">
        <f t="shared" si="7"/>
        <v>201</v>
      </c>
      <c r="M74">
        <v>1977</v>
      </c>
      <c r="N74">
        <v>2020</v>
      </c>
      <c r="O74">
        <v>201</v>
      </c>
      <c r="P74" t="str">
        <f t="shared" si="8"/>
        <v>Wiederkehr</v>
      </c>
      <c r="Q74" t="str">
        <f t="shared" si="9"/>
        <v>Fabian</v>
      </c>
      <c r="R74" t="str">
        <f t="shared" si="10"/>
        <v>Fabian</v>
      </c>
      <c r="S74" t="str">
        <f t="shared" si="11"/>
        <v>Fabian</v>
      </c>
    </row>
    <row r="75" spans="1:19" x14ac:dyDescent="0.25">
      <c r="A75">
        <v>74</v>
      </c>
      <c r="B75" t="s">
        <v>194</v>
      </c>
      <c r="C75">
        <v>8</v>
      </c>
      <c r="D75" t="s">
        <v>195</v>
      </c>
      <c r="E75" t="s">
        <v>196</v>
      </c>
      <c r="F75" s="1">
        <v>1.4034722222222222</v>
      </c>
      <c r="G75" s="2">
        <v>0.13958333333333334</v>
      </c>
      <c r="H75" s="2"/>
      <c r="I75" s="4">
        <f>IF(C75&gt;=20, C75+1900, C75+2000)</f>
        <v>2008</v>
      </c>
      <c r="J75" s="6">
        <f t="shared" si="6"/>
        <v>2021</v>
      </c>
      <c r="K75" s="5">
        <f t="shared" si="7"/>
        <v>201</v>
      </c>
      <c r="M75">
        <v>2008</v>
      </c>
      <c r="N75">
        <v>2021</v>
      </c>
      <c r="O75">
        <v>201</v>
      </c>
      <c r="P75" t="str">
        <f t="shared" si="8"/>
        <v>Popea</v>
      </c>
      <c r="Q75" t="str">
        <f t="shared" si="9"/>
        <v>Théotime</v>
      </c>
      <c r="R75" t="str">
        <f t="shared" si="10"/>
        <v>Théotime</v>
      </c>
      <c r="S75" t="str">
        <f t="shared" si="11"/>
        <v>Théotime</v>
      </c>
    </row>
    <row r="76" spans="1:19" x14ac:dyDescent="0.25">
      <c r="A76">
        <v>75</v>
      </c>
      <c r="B76" t="s">
        <v>197</v>
      </c>
      <c r="C76">
        <v>77</v>
      </c>
      <c r="D76" t="s">
        <v>198</v>
      </c>
      <c r="E76" t="s">
        <v>199</v>
      </c>
      <c r="F76" s="1">
        <v>1.4048611111111111</v>
      </c>
      <c r="G76" s="2">
        <v>0.14027777777777778</v>
      </c>
      <c r="H76" s="2"/>
      <c r="I76" s="4">
        <f>IF(C76&gt;=20, C76+1900, C76+2000)</f>
        <v>1977</v>
      </c>
      <c r="J76" s="6">
        <f t="shared" si="6"/>
        <v>2023</v>
      </c>
      <c r="K76" s="5">
        <f t="shared" si="7"/>
        <v>202</v>
      </c>
      <c r="M76">
        <v>1977</v>
      </c>
      <c r="N76">
        <v>2023</v>
      </c>
      <c r="O76">
        <v>202</v>
      </c>
      <c r="P76" t="str">
        <f t="shared" si="8"/>
        <v>Lagerström</v>
      </c>
      <c r="Q76" t="str">
        <f t="shared" si="9"/>
        <v>Mark</v>
      </c>
      <c r="R76" t="str">
        <f t="shared" si="10"/>
        <v>Mark</v>
      </c>
      <c r="S76" t="str">
        <f t="shared" si="11"/>
        <v>Mark</v>
      </c>
    </row>
    <row r="77" spans="1:19" x14ac:dyDescent="0.25">
      <c r="A77">
        <v>76</v>
      </c>
      <c r="B77" t="s">
        <v>200</v>
      </c>
      <c r="C77">
        <v>2</v>
      </c>
      <c r="D77" t="s">
        <v>201</v>
      </c>
      <c r="E77" t="s">
        <v>202</v>
      </c>
      <c r="F77" s="1">
        <v>1.4069444444444446</v>
      </c>
      <c r="G77" s="2">
        <v>0.14027777777777778</v>
      </c>
      <c r="H77" s="2"/>
      <c r="I77" s="4">
        <f>IF(C77&gt;=20, C77+1900, C77+2000)</f>
        <v>2002</v>
      </c>
      <c r="J77" s="6">
        <f t="shared" si="6"/>
        <v>2026</v>
      </c>
      <c r="K77" s="5">
        <f t="shared" si="7"/>
        <v>202</v>
      </c>
      <c r="M77">
        <v>2002</v>
      </c>
      <c r="N77">
        <v>2026</v>
      </c>
      <c r="O77">
        <v>202</v>
      </c>
      <c r="P77" t="str">
        <f t="shared" si="8"/>
        <v>Schober</v>
      </c>
      <c r="Q77" t="str">
        <f t="shared" si="9"/>
        <v>Rafael</v>
      </c>
      <c r="R77" t="str">
        <f t="shared" si="10"/>
        <v>Rafael</v>
      </c>
      <c r="S77" t="str">
        <f t="shared" si="11"/>
        <v>Rafael</v>
      </c>
    </row>
    <row r="78" spans="1:19" x14ac:dyDescent="0.25">
      <c r="A78">
        <v>77</v>
      </c>
      <c r="B78" t="s">
        <v>203</v>
      </c>
      <c r="C78">
        <v>73</v>
      </c>
      <c r="D78" t="s">
        <v>204</v>
      </c>
      <c r="E78" t="s">
        <v>205</v>
      </c>
      <c r="F78" s="1">
        <v>1.4076388888888889</v>
      </c>
      <c r="G78" s="2">
        <v>0.14027777777777778</v>
      </c>
      <c r="H78" s="2"/>
      <c r="I78" s="4">
        <f>IF(C78&gt;=20, C78+1900, C78+2000)</f>
        <v>1973</v>
      </c>
      <c r="J78" s="6">
        <f t="shared" si="6"/>
        <v>2027</v>
      </c>
      <c r="K78" s="5">
        <f t="shared" si="7"/>
        <v>202</v>
      </c>
      <c r="M78">
        <v>1973</v>
      </c>
      <c r="N78">
        <v>2027</v>
      </c>
      <c r="O78">
        <v>202</v>
      </c>
      <c r="P78" t="str">
        <f t="shared" si="8"/>
        <v>Fischer</v>
      </c>
      <c r="Q78" t="str">
        <f t="shared" si="9"/>
        <v>Christian</v>
      </c>
      <c r="R78" t="str">
        <f t="shared" si="10"/>
        <v>Christian</v>
      </c>
      <c r="S78" t="str">
        <f t="shared" si="11"/>
        <v>Christian</v>
      </c>
    </row>
    <row r="79" spans="1:19" x14ac:dyDescent="0.25">
      <c r="A79">
        <v>78</v>
      </c>
      <c r="B79" t="s">
        <v>206</v>
      </c>
      <c r="C79">
        <v>91</v>
      </c>
      <c r="D79" t="s">
        <v>207</v>
      </c>
      <c r="E79" t="s">
        <v>208</v>
      </c>
      <c r="F79" s="1">
        <v>1.4118055555555555</v>
      </c>
      <c r="G79" s="2">
        <v>0.14097222222222222</v>
      </c>
      <c r="H79" s="2"/>
      <c r="I79" s="4">
        <f>IF(C79&gt;=20, C79+1900, C79+2000)</f>
        <v>1991</v>
      </c>
      <c r="J79" s="6">
        <f t="shared" si="6"/>
        <v>2033</v>
      </c>
      <c r="K79" s="5">
        <f t="shared" si="7"/>
        <v>203</v>
      </c>
      <c r="M79">
        <v>1991</v>
      </c>
      <c r="N79">
        <v>2033</v>
      </c>
      <c r="O79">
        <v>203</v>
      </c>
      <c r="P79" t="str">
        <f t="shared" si="8"/>
        <v>Marquetant</v>
      </c>
      <c r="Q79" t="str">
        <f t="shared" si="9"/>
        <v>Timo</v>
      </c>
      <c r="R79" t="str">
        <f t="shared" si="10"/>
        <v>Timo</v>
      </c>
      <c r="S79" t="str">
        <f t="shared" si="11"/>
        <v>Timo</v>
      </c>
    </row>
    <row r="80" spans="1:19" x14ac:dyDescent="0.25">
      <c r="A80">
        <v>79</v>
      </c>
      <c r="B80" t="s">
        <v>209</v>
      </c>
      <c r="C80">
        <v>99</v>
      </c>
      <c r="D80" t="s">
        <v>210</v>
      </c>
      <c r="E80" t="s">
        <v>145</v>
      </c>
      <c r="F80" s="1">
        <v>1.4118055555555555</v>
      </c>
      <c r="G80" s="2">
        <v>0.14097222222222222</v>
      </c>
      <c r="H80" s="2"/>
      <c r="I80" s="4">
        <f>IF(C80&gt;=20, C80+1900, C80+2000)</f>
        <v>1999</v>
      </c>
      <c r="J80" s="6">
        <f t="shared" si="6"/>
        <v>2033</v>
      </c>
      <c r="K80" s="5">
        <f t="shared" si="7"/>
        <v>203</v>
      </c>
      <c r="M80">
        <v>1999</v>
      </c>
      <c r="N80">
        <v>2033</v>
      </c>
      <c r="O80">
        <v>203</v>
      </c>
      <c r="P80" t="str">
        <f t="shared" si="8"/>
        <v>Leneuf</v>
      </c>
      <c r="Q80" t="str">
        <f t="shared" si="9"/>
        <v>Louis</v>
      </c>
      <c r="R80" t="str">
        <f t="shared" si="10"/>
        <v>Louis</v>
      </c>
      <c r="S80" t="str">
        <f t="shared" si="11"/>
        <v>Louis</v>
      </c>
    </row>
    <row r="81" spans="1:19" x14ac:dyDescent="0.25">
      <c r="A81">
        <v>80</v>
      </c>
      <c r="B81" t="s">
        <v>211</v>
      </c>
      <c r="C81">
        <v>6</v>
      </c>
      <c r="D81" t="s">
        <v>23</v>
      </c>
      <c r="E81" t="s">
        <v>24</v>
      </c>
      <c r="F81" s="1">
        <v>1.4145833333333333</v>
      </c>
      <c r="G81" s="2">
        <v>0.14097222222222222</v>
      </c>
      <c r="H81" s="2"/>
      <c r="I81" s="4">
        <f>IF(C81&gt;=20, C81+1900, C81+2000)</f>
        <v>2006</v>
      </c>
      <c r="J81" s="6">
        <f t="shared" si="6"/>
        <v>2037</v>
      </c>
      <c r="K81" s="5">
        <f t="shared" si="7"/>
        <v>203</v>
      </c>
      <c r="M81">
        <v>2006</v>
      </c>
      <c r="N81">
        <v>2037</v>
      </c>
      <c r="O81">
        <v>203</v>
      </c>
      <c r="P81" t="str">
        <f t="shared" si="8"/>
        <v>Schneeberger</v>
      </c>
      <c r="Q81" t="str">
        <f t="shared" si="9"/>
        <v>Manuel</v>
      </c>
      <c r="R81" t="str">
        <f t="shared" si="10"/>
        <v>Manuel</v>
      </c>
      <c r="S81" t="str">
        <f t="shared" si="11"/>
        <v>Manuel</v>
      </c>
    </row>
    <row r="82" spans="1:19" x14ac:dyDescent="0.25">
      <c r="A82">
        <v>81</v>
      </c>
      <c r="B82" t="s">
        <v>212</v>
      </c>
      <c r="C82">
        <v>94</v>
      </c>
      <c r="D82" t="s">
        <v>37</v>
      </c>
      <c r="E82" t="s">
        <v>15</v>
      </c>
      <c r="F82" s="1">
        <v>1.4166666666666667</v>
      </c>
      <c r="G82" s="2">
        <v>0.14097222222222222</v>
      </c>
      <c r="H82" s="2"/>
      <c r="I82" s="4">
        <f>IF(C82&gt;=20, C82+1900, C82+2000)</f>
        <v>1994</v>
      </c>
      <c r="J82" s="6">
        <f t="shared" si="6"/>
        <v>2040</v>
      </c>
      <c r="K82" s="5">
        <f t="shared" si="7"/>
        <v>203</v>
      </c>
      <c r="M82">
        <v>1994</v>
      </c>
      <c r="N82">
        <v>2040</v>
      </c>
      <c r="O82">
        <v>203</v>
      </c>
      <c r="P82" t="str">
        <f t="shared" si="8"/>
        <v>Pedrazzoli</v>
      </c>
      <c r="Q82" t="str">
        <f t="shared" si="9"/>
        <v>Thomas</v>
      </c>
      <c r="R82" t="str">
        <f t="shared" si="10"/>
        <v>Thomas</v>
      </c>
      <c r="S82" t="str">
        <f t="shared" si="11"/>
        <v>Thomas</v>
      </c>
    </row>
    <row r="83" spans="1:19" x14ac:dyDescent="0.25">
      <c r="A83">
        <v>82</v>
      </c>
      <c r="B83" t="s">
        <v>213</v>
      </c>
      <c r="C83">
        <v>98</v>
      </c>
      <c r="D83" t="s">
        <v>214</v>
      </c>
      <c r="E83" t="s">
        <v>15</v>
      </c>
      <c r="F83" s="1">
        <v>1.4173611111111111</v>
      </c>
      <c r="G83" s="2">
        <v>0.14097222222222222</v>
      </c>
      <c r="H83" s="2"/>
      <c r="I83" s="4">
        <f>IF(C83&gt;=20, C83+1900, C83+2000)</f>
        <v>1998</v>
      </c>
      <c r="J83" s="6">
        <f t="shared" si="6"/>
        <v>2041</v>
      </c>
      <c r="K83" s="5">
        <f t="shared" si="7"/>
        <v>203</v>
      </c>
      <c r="M83">
        <v>1998</v>
      </c>
      <c r="N83">
        <v>2041</v>
      </c>
      <c r="O83">
        <v>203</v>
      </c>
      <c r="P83" t="str">
        <f t="shared" si="8"/>
        <v>Wisler</v>
      </c>
      <c r="Q83" t="str">
        <f t="shared" si="9"/>
        <v>Thomas</v>
      </c>
      <c r="R83" t="str">
        <f t="shared" si="10"/>
        <v>Thomas</v>
      </c>
      <c r="S83" t="str">
        <f t="shared" si="11"/>
        <v>Thomas</v>
      </c>
    </row>
    <row r="84" spans="1:19" x14ac:dyDescent="0.25">
      <c r="A84">
        <v>83</v>
      </c>
      <c r="B84" t="s">
        <v>215</v>
      </c>
      <c r="C84">
        <v>5</v>
      </c>
      <c r="D84" t="s">
        <v>216</v>
      </c>
      <c r="E84" t="s">
        <v>217</v>
      </c>
      <c r="F84" s="1">
        <v>1.4173611111111111</v>
      </c>
      <c r="G84" s="2">
        <v>0.14166666666666666</v>
      </c>
      <c r="H84" s="2"/>
      <c r="I84" s="4">
        <f>IF(C84&gt;=20, C84+1900, C84+2000)</f>
        <v>2005</v>
      </c>
      <c r="J84" s="6">
        <f t="shared" si="6"/>
        <v>2041</v>
      </c>
      <c r="K84" s="5">
        <f t="shared" si="7"/>
        <v>204</v>
      </c>
      <c r="M84">
        <v>2005</v>
      </c>
      <c r="N84">
        <v>2041</v>
      </c>
      <c r="O84">
        <v>204</v>
      </c>
      <c r="P84" t="str">
        <f t="shared" si="8"/>
        <v>Kaufmann</v>
      </c>
      <c r="Q84" t="str">
        <f t="shared" si="9"/>
        <v>Cyrill</v>
      </c>
      <c r="R84" t="str">
        <f t="shared" si="10"/>
        <v>Cyrill</v>
      </c>
      <c r="S84" t="str">
        <f t="shared" si="11"/>
        <v>Cyrill</v>
      </c>
    </row>
    <row r="85" spans="1:19" x14ac:dyDescent="0.25">
      <c r="A85">
        <v>84</v>
      </c>
      <c r="B85" t="s">
        <v>218</v>
      </c>
      <c r="C85">
        <v>81</v>
      </c>
      <c r="D85" t="s">
        <v>219</v>
      </c>
      <c r="F85" s="1">
        <v>1.41875</v>
      </c>
      <c r="G85" s="2">
        <v>0.14097222222222222</v>
      </c>
      <c r="H85" s="2"/>
      <c r="I85" s="4">
        <f>IF(C85&gt;=20, C85+1900, C85+2000)</f>
        <v>1981</v>
      </c>
      <c r="J85" s="6">
        <f t="shared" si="6"/>
        <v>2043</v>
      </c>
      <c r="K85" s="5">
        <f t="shared" si="7"/>
        <v>203</v>
      </c>
      <c r="M85">
        <v>1981</v>
      </c>
      <c r="N85">
        <v>2043</v>
      </c>
      <c r="O85">
        <v>203</v>
      </c>
      <c r="P85" t="str">
        <f t="shared" si="8"/>
        <v>Bischofberger</v>
      </c>
      <c r="Q85" t="str">
        <f t="shared" si="9"/>
        <v>Emil</v>
      </c>
      <c r="R85" t="str">
        <f t="shared" si="10"/>
        <v>Emil</v>
      </c>
      <c r="S85" t="str">
        <f t="shared" si="11"/>
        <v>Emil</v>
      </c>
    </row>
    <row r="86" spans="1:19" x14ac:dyDescent="0.25">
      <c r="A86">
        <v>85</v>
      </c>
      <c r="B86" t="s">
        <v>220</v>
      </c>
      <c r="C86">
        <v>98</v>
      </c>
      <c r="D86" t="s">
        <v>221</v>
      </c>
      <c r="E86" t="s">
        <v>222</v>
      </c>
      <c r="F86" s="1">
        <v>1.4215277777777777</v>
      </c>
      <c r="G86" s="2">
        <v>0.14166666666666666</v>
      </c>
      <c r="H86" s="2"/>
      <c r="I86" s="4">
        <f>IF(C86&gt;=20, C86+1900, C86+2000)</f>
        <v>1998</v>
      </c>
      <c r="J86" s="6">
        <f t="shared" si="6"/>
        <v>2047</v>
      </c>
      <c r="K86" s="5">
        <f t="shared" si="7"/>
        <v>204</v>
      </c>
      <c r="M86">
        <v>1998</v>
      </c>
      <c r="N86">
        <v>2047</v>
      </c>
      <c r="O86">
        <v>204</v>
      </c>
      <c r="P86" t="str">
        <f t="shared" si="8"/>
        <v>Bruderer</v>
      </c>
      <c r="Q86" t="str">
        <f t="shared" si="9"/>
        <v>Silas</v>
      </c>
      <c r="R86" t="str">
        <f t="shared" si="10"/>
        <v>Silas</v>
      </c>
      <c r="S86" t="str">
        <f t="shared" si="11"/>
        <v>Silas</v>
      </c>
    </row>
    <row r="87" spans="1:19" x14ac:dyDescent="0.25">
      <c r="A87">
        <v>86</v>
      </c>
      <c r="B87" t="s">
        <v>223</v>
      </c>
      <c r="C87">
        <v>89</v>
      </c>
      <c r="D87" t="s">
        <v>224</v>
      </c>
      <c r="F87" s="1">
        <v>1.4256944444444444</v>
      </c>
      <c r="G87" s="2">
        <v>0.1423611111111111</v>
      </c>
      <c r="H87" s="2"/>
      <c r="I87" s="4">
        <f>IF(C87&gt;=20, C87+1900, C87+2000)</f>
        <v>1989</v>
      </c>
      <c r="J87" s="6">
        <f t="shared" si="6"/>
        <v>2053</v>
      </c>
      <c r="K87" s="5">
        <f t="shared" si="7"/>
        <v>205</v>
      </c>
      <c r="M87">
        <v>1989</v>
      </c>
      <c r="N87">
        <v>2053</v>
      </c>
      <c r="O87">
        <v>205</v>
      </c>
      <c r="P87" t="str">
        <f t="shared" si="8"/>
        <v>Schmidhalter</v>
      </c>
      <c r="Q87" t="str">
        <f t="shared" si="9"/>
        <v>Joël</v>
      </c>
      <c r="R87" t="str">
        <f t="shared" si="10"/>
        <v>Joël</v>
      </c>
      <c r="S87" t="str">
        <f t="shared" si="11"/>
        <v>Joël</v>
      </c>
    </row>
    <row r="88" spans="1:19" x14ac:dyDescent="0.25">
      <c r="A88">
        <v>87</v>
      </c>
      <c r="B88" t="s">
        <v>225</v>
      </c>
      <c r="C88">
        <v>99</v>
      </c>
      <c r="D88" t="s">
        <v>226</v>
      </c>
      <c r="E88" t="s">
        <v>176</v>
      </c>
      <c r="F88" s="1">
        <v>1.4277777777777778</v>
      </c>
      <c r="G88" s="2">
        <v>0.1423611111111111</v>
      </c>
      <c r="H88" s="2"/>
      <c r="I88" s="4">
        <f>IF(C88&gt;=20, C88+1900, C88+2000)</f>
        <v>1999</v>
      </c>
      <c r="J88" s="6">
        <f t="shared" si="6"/>
        <v>2056</v>
      </c>
      <c r="K88" s="5">
        <f t="shared" si="7"/>
        <v>205</v>
      </c>
      <c r="M88">
        <v>1999</v>
      </c>
      <c r="N88">
        <v>2056</v>
      </c>
      <c r="O88">
        <v>205</v>
      </c>
      <c r="P88" t="str">
        <f t="shared" si="8"/>
        <v>Ummel</v>
      </c>
      <c r="Q88" t="str">
        <f t="shared" si="9"/>
        <v>Dominik</v>
      </c>
      <c r="R88" t="str">
        <f t="shared" si="10"/>
        <v>Dominik</v>
      </c>
      <c r="S88" t="str">
        <f t="shared" si="11"/>
        <v>Dominik</v>
      </c>
    </row>
    <row r="89" spans="1:19" x14ac:dyDescent="0.25">
      <c r="A89">
        <v>88</v>
      </c>
      <c r="B89" t="s">
        <v>227</v>
      </c>
      <c r="C89">
        <v>71</v>
      </c>
      <c r="D89" t="s">
        <v>228</v>
      </c>
      <c r="E89" t="s">
        <v>113</v>
      </c>
      <c r="F89" s="1">
        <v>1.4284722222222221</v>
      </c>
      <c r="G89" s="2">
        <v>0.1423611111111111</v>
      </c>
      <c r="H89" s="2"/>
      <c r="I89" s="4">
        <f>IF(C89&gt;=20, C89+1900, C89+2000)</f>
        <v>1971</v>
      </c>
      <c r="J89" s="6">
        <f t="shared" si="6"/>
        <v>2057</v>
      </c>
      <c r="K89" s="5">
        <f t="shared" si="7"/>
        <v>205</v>
      </c>
      <c r="M89">
        <v>1971</v>
      </c>
      <c r="N89">
        <v>2057</v>
      </c>
      <c r="O89">
        <v>205</v>
      </c>
      <c r="P89" t="str">
        <f t="shared" si="8"/>
        <v>Leibundgut</v>
      </c>
      <c r="Q89" t="str">
        <f t="shared" si="9"/>
        <v>Armin</v>
      </c>
      <c r="R89" t="str">
        <f t="shared" si="10"/>
        <v>Armin</v>
      </c>
      <c r="S89" t="str">
        <f t="shared" si="11"/>
        <v>Armin</v>
      </c>
    </row>
    <row r="90" spans="1:19" x14ac:dyDescent="0.25">
      <c r="A90">
        <v>89</v>
      </c>
      <c r="B90" t="s">
        <v>229</v>
      </c>
      <c r="C90">
        <v>3</v>
      </c>
      <c r="D90" t="s">
        <v>230</v>
      </c>
      <c r="E90" t="s">
        <v>231</v>
      </c>
      <c r="F90" s="1">
        <v>1.4381944444444446</v>
      </c>
      <c r="G90" s="2">
        <v>0.14305555555555555</v>
      </c>
      <c r="H90" s="2"/>
      <c r="I90" s="4">
        <f>IF(C90&gt;=20, C90+1900, C90+2000)</f>
        <v>2003</v>
      </c>
      <c r="J90" s="6">
        <f t="shared" si="6"/>
        <v>2071</v>
      </c>
      <c r="K90" s="5">
        <f t="shared" si="7"/>
        <v>206</v>
      </c>
      <c r="M90">
        <v>2003</v>
      </c>
      <c r="N90">
        <v>2071</v>
      </c>
      <c r="O90">
        <v>206</v>
      </c>
      <c r="P90" t="str">
        <f t="shared" si="8"/>
        <v>Freund</v>
      </c>
      <c r="Q90" t="str">
        <f t="shared" si="9"/>
        <v>Jonas</v>
      </c>
      <c r="R90" t="str">
        <f t="shared" si="10"/>
        <v>Jonas</v>
      </c>
      <c r="S90" t="str">
        <f t="shared" si="11"/>
        <v>Jonas</v>
      </c>
    </row>
    <row r="91" spans="1:19" x14ac:dyDescent="0.25">
      <c r="A91">
        <v>90</v>
      </c>
      <c r="B91" t="s">
        <v>232</v>
      </c>
      <c r="C91">
        <v>75</v>
      </c>
      <c r="D91" t="s">
        <v>233</v>
      </c>
      <c r="E91" t="s">
        <v>234</v>
      </c>
      <c r="F91" s="1">
        <v>1.4395833333333334</v>
      </c>
      <c r="G91" s="2">
        <v>0.14305555555555555</v>
      </c>
      <c r="H91" s="2"/>
      <c r="I91" s="4">
        <f>IF(C91&gt;=20, C91+1900, C91+2000)</f>
        <v>1975</v>
      </c>
      <c r="J91" s="6">
        <f t="shared" si="6"/>
        <v>2073</v>
      </c>
      <c r="K91" s="5">
        <f t="shared" si="7"/>
        <v>206</v>
      </c>
      <c r="M91">
        <v>1975</v>
      </c>
      <c r="N91">
        <v>2073</v>
      </c>
      <c r="O91">
        <v>206</v>
      </c>
      <c r="P91" t="str">
        <f t="shared" si="8"/>
        <v>Bohren</v>
      </c>
      <c r="Q91" t="str">
        <f t="shared" si="9"/>
        <v>Yves</v>
      </c>
      <c r="R91" t="str">
        <f t="shared" si="10"/>
        <v>Yves</v>
      </c>
      <c r="S91" t="str">
        <f t="shared" si="11"/>
        <v>Yves</v>
      </c>
    </row>
    <row r="92" spans="1:19" x14ac:dyDescent="0.25">
      <c r="A92">
        <v>91</v>
      </c>
      <c r="B92" t="s">
        <v>235</v>
      </c>
      <c r="C92">
        <v>6</v>
      </c>
      <c r="D92" t="s">
        <v>236</v>
      </c>
      <c r="E92" t="s">
        <v>237</v>
      </c>
      <c r="F92" s="1">
        <v>1.4402777777777778</v>
      </c>
      <c r="G92" s="2">
        <v>0.14305555555555555</v>
      </c>
      <c r="H92" s="2"/>
      <c r="I92" s="4">
        <f>IF(C92&gt;=20, C92+1900, C92+2000)</f>
        <v>2006</v>
      </c>
      <c r="J92" s="6">
        <f t="shared" si="6"/>
        <v>2074</v>
      </c>
      <c r="K92" s="5">
        <f t="shared" si="7"/>
        <v>206</v>
      </c>
      <c r="M92">
        <v>2006</v>
      </c>
      <c r="N92">
        <v>2074</v>
      </c>
      <c r="O92">
        <v>206</v>
      </c>
      <c r="P92" t="str">
        <f t="shared" si="8"/>
        <v>Länzlinger</v>
      </c>
      <c r="Q92" t="str">
        <f t="shared" si="9"/>
        <v>Lorin</v>
      </c>
      <c r="R92" t="str">
        <f t="shared" si="10"/>
        <v>Lorin</v>
      </c>
      <c r="S92" t="str">
        <f t="shared" si="11"/>
        <v>Lorin</v>
      </c>
    </row>
    <row r="93" spans="1:19" x14ac:dyDescent="0.25">
      <c r="A93">
        <v>92</v>
      </c>
      <c r="B93" t="s">
        <v>238</v>
      </c>
      <c r="C93">
        <v>79</v>
      </c>
      <c r="D93" t="s">
        <v>239</v>
      </c>
      <c r="E93" t="s">
        <v>240</v>
      </c>
      <c r="F93" s="1">
        <v>1.4402777777777778</v>
      </c>
      <c r="G93" s="2">
        <v>0.14374999999999999</v>
      </c>
      <c r="H93" s="2"/>
      <c r="I93" s="4">
        <f>IF(C93&gt;=20, C93+1900, C93+2000)</f>
        <v>1979</v>
      </c>
      <c r="J93" s="6">
        <f t="shared" si="6"/>
        <v>2074</v>
      </c>
      <c r="K93" s="5">
        <f t="shared" si="7"/>
        <v>207</v>
      </c>
      <c r="M93">
        <v>1979</v>
      </c>
      <c r="N93">
        <v>2074</v>
      </c>
      <c r="O93">
        <v>207</v>
      </c>
      <c r="P93" t="str">
        <f t="shared" si="8"/>
        <v>Marty</v>
      </c>
      <c r="Q93" t="str">
        <f t="shared" si="9"/>
        <v>Stefan</v>
      </c>
      <c r="R93" t="str">
        <f t="shared" si="10"/>
        <v>Stefan</v>
      </c>
      <c r="S93" t="str">
        <f t="shared" si="11"/>
        <v>Stefan</v>
      </c>
    </row>
    <row r="94" spans="1:19" x14ac:dyDescent="0.25">
      <c r="A94">
        <v>93</v>
      </c>
      <c r="B94" t="s">
        <v>241</v>
      </c>
      <c r="C94">
        <v>1</v>
      </c>
      <c r="D94" t="s">
        <v>242</v>
      </c>
      <c r="E94" t="s">
        <v>243</v>
      </c>
      <c r="F94" s="1">
        <v>1.4430555555555555</v>
      </c>
      <c r="G94" s="2">
        <v>0.14374999999999999</v>
      </c>
      <c r="H94" s="2"/>
      <c r="I94" s="4">
        <f>IF(C94&gt;=20, C94+1900, C94+2000)</f>
        <v>2001</v>
      </c>
      <c r="J94" s="6">
        <f t="shared" si="6"/>
        <v>2078</v>
      </c>
      <c r="K94" s="5">
        <f t="shared" si="7"/>
        <v>207</v>
      </c>
      <c r="M94">
        <v>2001</v>
      </c>
      <c r="N94">
        <v>2078</v>
      </c>
      <c r="O94">
        <v>207</v>
      </c>
      <c r="P94" t="str">
        <f t="shared" si="8"/>
        <v>Aase</v>
      </c>
      <c r="Q94" t="str">
        <f t="shared" si="9"/>
        <v>Njaal</v>
      </c>
      <c r="R94" t="str">
        <f t="shared" si="10"/>
        <v>Njaal</v>
      </c>
      <c r="S94" t="str">
        <f t="shared" si="11"/>
        <v>Njaal</v>
      </c>
    </row>
    <row r="95" spans="1:19" x14ac:dyDescent="0.25">
      <c r="A95">
        <v>94</v>
      </c>
      <c r="B95" t="s">
        <v>244</v>
      </c>
      <c r="C95">
        <v>91</v>
      </c>
      <c r="D95" t="s">
        <v>23</v>
      </c>
      <c r="E95" t="s">
        <v>24</v>
      </c>
      <c r="F95" s="1">
        <v>1.4458333333333333</v>
      </c>
      <c r="G95" s="2">
        <v>0.14374999999999999</v>
      </c>
      <c r="H95" s="2"/>
      <c r="I95" s="4">
        <f>IF(C95&gt;=20, C95+1900, C95+2000)</f>
        <v>1991</v>
      </c>
      <c r="J95" s="6">
        <f t="shared" si="6"/>
        <v>2082</v>
      </c>
      <c r="K95" s="5">
        <f t="shared" si="7"/>
        <v>207</v>
      </c>
      <c r="M95">
        <v>1991</v>
      </c>
      <c r="N95">
        <v>2082</v>
      </c>
      <c r="O95">
        <v>207</v>
      </c>
      <c r="P95" t="str">
        <f t="shared" si="8"/>
        <v>Alcala</v>
      </c>
      <c r="Q95" t="str">
        <f t="shared" si="9"/>
        <v>Adrià</v>
      </c>
      <c r="R95" t="str">
        <f t="shared" si="10"/>
        <v>Adrià</v>
      </c>
      <c r="S95" t="str">
        <f t="shared" si="11"/>
        <v>Adrià</v>
      </c>
    </row>
    <row r="96" spans="1:19" x14ac:dyDescent="0.25">
      <c r="A96">
        <v>95</v>
      </c>
      <c r="B96" t="s">
        <v>245</v>
      </c>
      <c r="C96">
        <v>79</v>
      </c>
      <c r="D96" t="s">
        <v>246</v>
      </c>
      <c r="F96" s="1">
        <v>1.4486111111111111</v>
      </c>
      <c r="G96" s="2">
        <v>0.14444444444444443</v>
      </c>
      <c r="H96" s="2"/>
      <c r="I96" s="4">
        <f>IF(C96&gt;=20, C96+1900, C96+2000)</f>
        <v>1979</v>
      </c>
      <c r="J96" s="6">
        <f t="shared" si="6"/>
        <v>2086</v>
      </c>
      <c r="K96" s="5">
        <f t="shared" si="7"/>
        <v>208</v>
      </c>
      <c r="M96">
        <v>1979</v>
      </c>
      <c r="N96">
        <v>2086</v>
      </c>
      <c r="O96">
        <v>208</v>
      </c>
      <c r="P96" t="str">
        <f t="shared" si="8"/>
        <v>Aeschlimann</v>
      </c>
      <c r="Q96" t="str">
        <f t="shared" si="9"/>
        <v>Gilles</v>
      </c>
      <c r="R96" t="str">
        <f t="shared" si="10"/>
        <v>Gilles</v>
      </c>
      <c r="S96" t="str">
        <f t="shared" si="11"/>
        <v>Gilles</v>
      </c>
    </row>
    <row r="97" spans="1:19" x14ac:dyDescent="0.25">
      <c r="A97">
        <v>96</v>
      </c>
      <c r="B97" t="s">
        <v>247</v>
      </c>
      <c r="C97">
        <v>97</v>
      </c>
      <c r="D97" t="s">
        <v>248</v>
      </c>
      <c r="E97" t="s">
        <v>148</v>
      </c>
      <c r="F97" s="1">
        <v>1.4493055555555556</v>
      </c>
      <c r="G97" s="2">
        <v>0.14444444444444443</v>
      </c>
      <c r="H97" s="2"/>
      <c r="I97" s="4">
        <f>IF(C97&gt;=20, C97+1900, C97+2000)</f>
        <v>1997</v>
      </c>
      <c r="J97" s="6">
        <f t="shared" si="6"/>
        <v>2087</v>
      </c>
      <c r="K97" s="5">
        <f t="shared" si="7"/>
        <v>208</v>
      </c>
      <c r="M97">
        <v>1997</v>
      </c>
      <c r="N97">
        <v>2087</v>
      </c>
      <c r="O97">
        <v>208</v>
      </c>
      <c r="P97" t="str">
        <f t="shared" si="8"/>
        <v>Blättler</v>
      </c>
      <c r="Q97" t="str">
        <f t="shared" si="9"/>
        <v>Remo</v>
      </c>
      <c r="R97" t="str">
        <f t="shared" si="10"/>
        <v>Remo</v>
      </c>
      <c r="S97" t="str">
        <f t="shared" si="11"/>
        <v>Remo</v>
      </c>
    </row>
    <row r="98" spans="1:19" x14ac:dyDescent="0.25">
      <c r="A98">
        <v>97</v>
      </c>
      <c r="B98" t="s">
        <v>249</v>
      </c>
      <c r="C98">
        <v>82</v>
      </c>
      <c r="D98" t="s">
        <v>250</v>
      </c>
      <c r="E98" t="s">
        <v>251</v>
      </c>
      <c r="F98" s="1">
        <v>1.45</v>
      </c>
      <c r="G98" s="2">
        <v>0.14444444444444443</v>
      </c>
      <c r="H98" s="2"/>
      <c r="I98" s="4">
        <f>IF(C98&gt;=20, C98+1900, C98+2000)</f>
        <v>1982</v>
      </c>
      <c r="J98" s="6">
        <f t="shared" si="6"/>
        <v>2088</v>
      </c>
      <c r="K98" s="5">
        <f t="shared" si="7"/>
        <v>208</v>
      </c>
      <c r="M98">
        <v>1982</v>
      </c>
      <c r="N98">
        <v>2088</v>
      </c>
      <c r="O98">
        <v>208</v>
      </c>
      <c r="P98" t="str">
        <f t="shared" si="8"/>
        <v>Albuquerque</v>
      </c>
      <c r="Q98" t="str">
        <f t="shared" si="9"/>
        <v>Bruno</v>
      </c>
      <c r="R98" t="str">
        <f t="shared" si="10"/>
        <v>Bruno</v>
      </c>
      <c r="S98" t="str">
        <f t="shared" si="11"/>
        <v>Bruno</v>
      </c>
    </row>
    <row r="99" spans="1:19" x14ac:dyDescent="0.25">
      <c r="A99">
        <v>98</v>
      </c>
      <c r="B99" t="s">
        <v>252</v>
      </c>
      <c r="C99">
        <v>95</v>
      </c>
      <c r="D99" t="s">
        <v>253</v>
      </c>
      <c r="E99" t="s">
        <v>254</v>
      </c>
      <c r="F99" s="1">
        <v>1.4541666666666666</v>
      </c>
      <c r="G99" s="2">
        <v>0.1451388888888889</v>
      </c>
      <c r="H99" s="2"/>
      <c r="I99" s="4">
        <f>IF(C99&gt;=20, C99+1900, C99+2000)</f>
        <v>1995</v>
      </c>
      <c r="J99" s="6">
        <f t="shared" si="6"/>
        <v>2094</v>
      </c>
      <c r="K99" s="5">
        <f t="shared" si="7"/>
        <v>209</v>
      </c>
      <c r="M99">
        <v>1995</v>
      </c>
      <c r="N99">
        <v>2094</v>
      </c>
      <c r="O99">
        <v>209</v>
      </c>
      <c r="P99" t="str">
        <f t="shared" si="8"/>
        <v>Kloter</v>
      </c>
      <c r="Q99" t="str">
        <f t="shared" si="9"/>
        <v>Marc</v>
      </c>
      <c r="R99" t="str">
        <f t="shared" si="10"/>
        <v>Marc</v>
      </c>
      <c r="S99" t="str">
        <f t="shared" si="11"/>
        <v>Marc</v>
      </c>
    </row>
    <row r="100" spans="1:19" x14ac:dyDescent="0.25">
      <c r="A100">
        <v>99</v>
      </c>
      <c r="B100" t="s">
        <v>255</v>
      </c>
      <c r="C100">
        <v>6</v>
      </c>
      <c r="D100" t="s">
        <v>256</v>
      </c>
      <c r="E100" t="s">
        <v>257</v>
      </c>
      <c r="F100" s="1">
        <v>1.45625</v>
      </c>
      <c r="G100" s="2">
        <v>0.1451388888888889</v>
      </c>
      <c r="H100" s="2"/>
      <c r="I100" s="4">
        <f>IF(C100&gt;=20, C100+1900, C100+2000)</f>
        <v>2006</v>
      </c>
      <c r="J100" s="6">
        <f t="shared" si="6"/>
        <v>2097</v>
      </c>
      <c r="K100" s="5">
        <f t="shared" si="7"/>
        <v>209</v>
      </c>
      <c r="M100">
        <v>2006</v>
      </c>
      <c r="N100">
        <v>2097</v>
      </c>
      <c r="O100">
        <v>209</v>
      </c>
      <c r="P100" t="str">
        <f t="shared" si="8"/>
        <v>Jurt</v>
      </c>
      <c r="Q100" t="str">
        <f t="shared" si="9"/>
        <v>Mario</v>
      </c>
      <c r="R100" t="str">
        <f t="shared" si="10"/>
        <v>Mario</v>
      </c>
      <c r="S100" t="str">
        <f t="shared" si="11"/>
        <v>Mario</v>
      </c>
    </row>
    <row r="101" spans="1:19" x14ac:dyDescent="0.25">
      <c r="A101">
        <v>100</v>
      </c>
      <c r="B101" t="s">
        <v>258</v>
      </c>
      <c r="C101">
        <v>90</v>
      </c>
      <c r="D101" t="s">
        <v>259</v>
      </c>
      <c r="F101" s="1">
        <v>1.45625</v>
      </c>
      <c r="G101" s="2">
        <v>0.1451388888888889</v>
      </c>
      <c r="H101" s="2"/>
      <c r="I101" s="4">
        <f>IF(C101&gt;=20, C101+1900, C101+2000)</f>
        <v>1990</v>
      </c>
      <c r="J101" s="6">
        <f t="shared" si="6"/>
        <v>2097</v>
      </c>
      <c r="K101" s="5">
        <f t="shared" si="7"/>
        <v>209</v>
      </c>
      <c r="M101">
        <v>1990</v>
      </c>
      <c r="N101">
        <v>2097</v>
      </c>
      <c r="O101">
        <v>209</v>
      </c>
      <c r="P101" t="str">
        <f t="shared" si="8"/>
        <v>Kohler</v>
      </c>
      <c r="Q101" t="str">
        <f t="shared" si="9"/>
        <v>Christof</v>
      </c>
      <c r="R101" t="str">
        <f t="shared" si="10"/>
        <v>Christof</v>
      </c>
      <c r="S101" t="str">
        <f t="shared" si="11"/>
        <v>Christof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FDE3-1BF0-4372-B0D8-FE91E14A1A43}">
  <dimension ref="A1:Q21"/>
  <sheetViews>
    <sheetView topLeftCell="A2" workbookViewId="0">
      <selection activeCell="B43" sqref="B43"/>
    </sheetView>
  </sheetViews>
  <sheetFormatPr defaultColWidth="11.42578125" defaultRowHeight="15" x14ac:dyDescent="0.25"/>
  <cols>
    <col min="9" max="9" width="3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>
        <v>1</v>
      </c>
      <c r="B2" t="s">
        <v>8</v>
      </c>
      <c r="C2">
        <v>98</v>
      </c>
      <c r="D2" t="s">
        <v>9</v>
      </c>
      <c r="E2" t="s">
        <v>10</v>
      </c>
      <c r="F2" t="s">
        <v>11</v>
      </c>
      <c r="G2" s="1">
        <v>1.2</v>
      </c>
      <c r="H2" s="2">
        <v>0.11944444444444445</v>
      </c>
      <c r="J2">
        <v>1</v>
      </c>
      <c r="K2" t="s">
        <v>8</v>
      </c>
      <c r="L2">
        <v>98</v>
      </c>
      <c r="M2" t="s">
        <v>9</v>
      </c>
      <c r="N2" t="s">
        <v>10</v>
      </c>
      <c r="O2" t="s">
        <v>11</v>
      </c>
      <c r="P2" s="1">
        <v>1.1993055555555556</v>
      </c>
      <c r="Q2" s="2">
        <v>0.11944444444444445</v>
      </c>
    </row>
    <row r="3" spans="1:17" x14ac:dyDescent="0.25">
      <c r="A3">
        <v>2</v>
      </c>
      <c r="B3" t="s">
        <v>12</v>
      </c>
      <c r="C3">
        <v>93</v>
      </c>
      <c r="D3" t="s">
        <v>13</v>
      </c>
      <c r="E3" t="s">
        <v>14</v>
      </c>
      <c r="F3" t="s">
        <v>15</v>
      </c>
      <c r="G3" s="1">
        <v>1.21875</v>
      </c>
      <c r="H3" s="2">
        <v>0.12152777777777778</v>
      </c>
      <c r="J3">
        <v>2</v>
      </c>
      <c r="K3" t="s">
        <v>12</v>
      </c>
      <c r="L3">
        <v>93</v>
      </c>
      <c r="M3" t="s">
        <v>13</v>
      </c>
      <c r="N3" t="s">
        <v>14</v>
      </c>
      <c r="O3" t="s">
        <v>15</v>
      </c>
      <c r="P3" s="1">
        <v>1.21875</v>
      </c>
      <c r="Q3" s="2">
        <v>0.12152777777777778</v>
      </c>
    </row>
    <row r="4" spans="1:17" x14ac:dyDescent="0.25">
      <c r="A4">
        <v>3</v>
      </c>
      <c r="B4" t="s">
        <v>16</v>
      </c>
      <c r="C4">
        <v>92</v>
      </c>
      <c r="D4" t="s">
        <v>13</v>
      </c>
      <c r="E4" t="s">
        <v>17</v>
      </c>
      <c r="F4" t="s">
        <v>18</v>
      </c>
      <c r="G4" s="1">
        <v>1.2236111111111112</v>
      </c>
      <c r="H4" s="2">
        <v>0.12222222222222222</v>
      </c>
      <c r="J4">
        <v>3</v>
      </c>
      <c r="K4" t="s">
        <v>16</v>
      </c>
      <c r="L4">
        <v>92</v>
      </c>
      <c r="M4" t="s">
        <v>13</v>
      </c>
      <c r="N4" t="s">
        <v>17</v>
      </c>
      <c r="O4" t="s">
        <v>18</v>
      </c>
      <c r="P4" s="1">
        <v>1.2236111111111112</v>
      </c>
      <c r="Q4" s="2">
        <v>0.12222222222222222</v>
      </c>
    </row>
    <row r="5" spans="1:17" x14ac:dyDescent="0.25">
      <c r="A5">
        <v>4</v>
      </c>
      <c r="B5" t="s">
        <v>19</v>
      </c>
      <c r="C5">
        <v>2</v>
      </c>
      <c r="D5" t="s">
        <v>20</v>
      </c>
      <c r="E5" t="s">
        <v>21</v>
      </c>
      <c r="F5" t="s">
        <v>18</v>
      </c>
      <c r="G5" s="1">
        <v>1.2250000000000001</v>
      </c>
      <c r="H5" s="2">
        <v>0.12222222222222222</v>
      </c>
      <c r="J5">
        <v>4</v>
      </c>
      <c r="K5" t="s">
        <v>19</v>
      </c>
      <c r="L5">
        <v>2</v>
      </c>
      <c r="M5" t="s">
        <v>20</v>
      </c>
      <c r="N5" t="s">
        <v>21</v>
      </c>
      <c r="O5" t="s">
        <v>18</v>
      </c>
      <c r="P5" s="1">
        <v>1.2250000000000001</v>
      </c>
      <c r="Q5" s="2">
        <v>0.12222222222222222</v>
      </c>
    </row>
    <row r="6" spans="1:17" x14ac:dyDescent="0.25">
      <c r="A6">
        <v>5</v>
      </c>
      <c r="B6" t="s">
        <v>22</v>
      </c>
      <c r="C6">
        <v>89</v>
      </c>
      <c r="D6" t="s">
        <v>13</v>
      </c>
      <c r="E6" t="s">
        <v>23</v>
      </c>
      <c r="F6" t="s">
        <v>24</v>
      </c>
      <c r="G6" s="1">
        <v>1.2270833333333333</v>
      </c>
      <c r="H6" s="2">
        <v>0.12222222222222222</v>
      </c>
      <c r="J6">
        <v>5</v>
      </c>
      <c r="K6" t="s">
        <v>22</v>
      </c>
      <c r="L6">
        <v>89</v>
      </c>
      <c r="M6" t="s">
        <v>13</v>
      </c>
      <c r="N6" t="s">
        <v>23</v>
      </c>
      <c r="O6" t="s">
        <v>24</v>
      </c>
      <c r="P6" s="1">
        <v>1.2270833333333333</v>
      </c>
      <c r="Q6" s="2">
        <v>0.12222222222222222</v>
      </c>
    </row>
    <row r="7" spans="1:17" x14ac:dyDescent="0.25">
      <c r="A7">
        <v>6</v>
      </c>
      <c r="B7" t="s">
        <v>25</v>
      </c>
      <c r="C7">
        <v>96</v>
      </c>
      <c r="D7" t="s">
        <v>26</v>
      </c>
      <c r="E7" t="s">
        <v>21</v>
      </c>
      <c r="F7" t="s">
        <v>27</v>
      </c>
      <c r="G7" s="1">
        <v>1.2326388888888888</v>
      </c>
      <c r="H7" s="2">
        <v>0.12291666666666666</v>
      </c>
      <c r="J7">
        <v>6</v>
      </c>
      <c r="K7" t="s">
        <v>25</v>
      </c>
      <c r="L7">
        <v>96</v>
      </c>
      <c r="M7" t="s">
        <v>26</v>
      </c>
      <c r="N7" t="s">
        <v>21</v>
      </c>
      <c r="O7" t="s">
        <v>27</v>
      </c>
      <c r="P7" s="1">
        <v>1.2326388888888888</v>
      </c>
      <c r="Q7" s="2">
        <v>0.12291666666666666</v>
      </c>
    </row>
    <row r="8" spans="1:17" x14ac:dyDescent="0.25">
      <c r="A8">
        <v>7</v>
      </c>
      <c r="B8" t="s">
        <v>28</v>
      </c>
      <c r="C8">
        <v>95</v>
      </c>
      <c r="D8" t="s">
        <v>13</v>
      </c>
      <c r="E8" t="s">
        <v>29</v>
      </c>
      <c r="F8" t="s">
        <v>30</v>
      </c>
      <c r="G8" s="1">
        <v>1.2368055555555555</v>
      </c>
      <c r="H8" s="2">
        <v>0.12361111111111112</v>
      </c>
      <c r="J8">
        <v>7</v>
      </c>
      <c r="K8" t="s">
        <v>28</v>
      </c>
      <c r="L8">
        <v>95</v>
      </c>
      <c r="M8" t="s">
        <v>13</v>
      </c>
      <c r="N8" t="s">
        <v>29</v>
      </c>
      <c r="O8" t="s">
        <v>30</v>
      </c>
      <c r="P8" s="1">
        <v>1.2368055555555555</v>
      </c>
      <c r="Q8" s="2">
        <v>0.12361111111111112</v>
      </c>
    </row>
    <row r="9" spans="1:17" x14ac:dyDescent="0.25">
      <c r="A9">
        <v>8</v>
      </c>
      <c r="B9" t="s">
        <v>31</v>
      </c>
      <c r="C9">
        <v>90</v>
      </c>
      <c r="D9" t="s">
        <v>26</v>
      </c>
      <c r="E9" t="s">
        <v>32</v>
      </c>
      <c r="F9" t="s">
        <v>33</v>
      </c>
      <c r="G9" s="1">
        <v>1.2402777777777778</v>
      </c>
      <c r="H9" s="2">
        <v>0.12361111111111112</v>
      </c>
      <c r="J9">
        <v>8</v>
      </c>
      <c r="K9" t="s">
        <v>31</v>
      </c>
      <c r="L9">
        <v>90</v>
      </c>
      <c r="M9" t="s">
        <v>26</v>
      </c>
      <c r="N9" t="s">
        <v>32</v>
      </c>
      <c r="O9" t="s">
        <v>33</v>
      </c>
      <c r="P9" s="1">
        <v>1.2402777777777778</v>
      </c>
      <c r="Q9" s="2">
        <v>0.12361111111111112</v>
      </c>
    </row>
    <row r="10" spans="1:17" x14ac:dyDescent="0.25">
      <c r="A10">
        <v>9</v>
      </c>
      <c r="B10" t="s">
        <v>34</v>
      </c>
      <c r="C10">
        <v>91</v>
      </c>
      <c r="D10" t="s">
        <v>13</v>
      </c>
      <c r="E10" t="s">
        <v>21</v>
      </c>
      <c r="F10" t="s">
        <v>35</v>
      </c>
      <c r="G10" s="1">
        <v>1.2479166666666666</v>
      </c>
      <c r="H10" s="2">
        <v>0.12430555555555556</v>
      </c>
      <c r="J10">
        <v>9</v>
      </c>
      <c r="K10" t="s">
        <v>34</v>
      </c>
      <c r="L10">
        <v>91</v>
      </c>
      <c r="M10" t="s">
        <v>13</v>
      </c>
      <c r="N10" t="s">
        <v>21</v>
      </c>
      <c r="O10" t="s">
        <v>35</v>
      </c>
      <c r="P10" s="1">
        <v>1.2479166666666666</v>
      </c>
      <c r="Q10" s="2">
        <v>0.12430555555555556</v>
      </c>
    </row>
    <row r="11" spans="1:17" x14ac:dyDescent="0.25">
      <c r="A11">
        <v>10</v>
      </c>
      <c r="B11" t="s">
        <v>36</v>
      </c>
      <c r="C11">
        <v>96</v>
      </c>
      <c r="D11" t="s">
        <v>13</v>
      </c>
      <c r="E11" t="s">
        <v>37</v>
      </c>
      <c r="F11" t="s">
        <v>15</v>
      </c>
      <c r="G11" s="1">
        <v>1.2534722222222223</v>
      </c>
      <c r="H11" s="2">
        <v>0.125</v>
      </c>
      <c r="J11">
        <v>10</v>
      </c>
      <c r="K11" t="s">
        <v>36</v>
      </c>
      <c r="L11">
        <v>96</v>
      </c>
      <c r="M11" t="s">
        <v>13</v>
      </c>
      <c r="N11" t="s">
        <v>37</v>
      </c>
      <c r="O11" t="s">
        <v>15</v>
      </c>
      <c r="P11" s="1">
        <v>1.2527777777777778</v>
      </c>
      <c r="Q11" s="2">
        <v>0.125</v>
      </c>
    </row>
    <row r="12" spans="1:17" x14ac:dyDescent="0.25">
      <c r="A12">
        <v>11</v>
      </c>
      <c r="B12" t="s">
        <v>38</v>
      </c>
      <c r="C12">
        <v>95</v>
      </c>
      <c r="D12" t="s">
        <v>13</v>
      </c>
      <c r="E12" t="s">
        <v>39</v>
      </c>
      <c r="F12" t="s">
        <v>40</v>
      </c>
      <c r="G12" s="1">
        <v>1.2611111111111111</v>
      </c>
      <c r="H12" s="2">
        <v>0.12569444444444444</v>
      </c>
      <c r="J12">
        <v>11</v>
      </c>
      <c r="K12" t="s">
        <v>38</v>
      </c>
      <c r="L12">
        <v>95</v>
      </c>
      <c r="M12" t="s">
        <v>13</v>
      </c>
      <c r="N12" t="s">
        <v>39</v>
      </c>
      <c r="O12" t="s">
        <v>40</v>
      </c>
      <c r="P12" s="1">
        <v>1.2611111111111111</v>
      </c>
      <c r="Q12" s="2">
        <v>0.12569444444444444</v>
      </c>
    </row>
    <row r="13" spans="1:17" x14ac:dyDescent="0.25">
      <c r="A13">
        <v>12</v>
      </c>
      <c r="B13" t="s">
        <v>41</v>
      </c>
      <c r="C13">
        <v>0</v>
      </c>
      <c r="D13" t="s">
        <v>13</v>
      </c>
      <c r="E13" t="s">
        <v>29</v>
      </c>
      <c r="F13" t="s">
        <v>30</v>
      </c>
      <c r="G13" s="1">
        <v>1.2625</v>
      </c>
      <c r="H13" s="2">
        <v>0.12569444444444444</v>
      </c>
      <c r="J13">
        <v>12</v>
      </c>
      <c r="K13" t="s">
        <v>41</v>
      </c>
      <c r="L13">
        <v>0</v>
      </c>
      <c r="M13" t="s">
        <v>13</v>
      </c>
      <c r="N13" t="s">
        <v>29</v>
      </c>
      <c r="O13" t="s">
        <v>30</v>
      </c>
      <c r="P13" s="1">
        <v>1.2618055555555556</v>
      </c>
      <c r="Q13" s="2">
        <v>0.12569444444444444</v>
      </c>
    </row>
    <row r="14" spans="1:17" x14ac:dyDescent="0.25">
      <c r="A14">
        <v>13</v>
      </c>
      <c r="B14" t="s">
        <v>42</v>
      </c>
      <c r="C14">
        <v>2</v>
      </c>
      <c r="D14" t="s">
        <v>13</v>
      </c>
      <c r="E14" t="s">
        <v>43</v>
      </c>
      <c r="F14" t="s">
        <v>44</v>
      </c>
      <c r="G14" s="1">
        <v>1.2659722222222223</v>
      </c>
      <c r="H14" s="2">
        <v>0.12638888888888888</v>
      </c>
      <c r="J14">
        <v>13</v>
      </c>
      <c r="K14" t="s">
        <v>42</v>
      </c>
      <c r="L14">
        <v>2</v>
      </c>
      <c r="M14" t="s">
        <v>13</v>
      </c>
      <c r="N14" t="s">
        <v>43</v>
      </c>
      <c r="O14" t="s">
        <v>44</v>
      </c>
      <c r="P14" s="1">
        <v>1.2652777777777777</v>
      </c>
      <c r="Q14" s="2">
        <v>0.12638888888888888</v>
      </c>
    </row>
    <row r="15" spans="1:17" x14ac:dyDescent="0.25">
      <c r="A15">
        <v>14</v>
      </c>
      <c r="B15" t="s">
        <v>45</v>
      </c>
      <c r="C15">
        <v>92</v>
      </c>
      <c r="D15" t="s">
        <v>13</v>
      </c>
      <c r="E15" t="s">
        <v>46</v>
      </c>
      <c r="F15" t="s">
        <v>47</v>
      </c>
      <c r="G15" s="1">
        <v>1.26875</v>
      </c>
      <c r="H15" s="2">
        <v>0.12638888888888888</v>
      </c>
      <c r="J15">
        <v>14</v>
      </c>
      <c r="K15" t="s">
        <v>45</v>
      </c>
      <c r="L15">
        <v>92</v>
      </c>
      <c r="M15" t="s">
        <v>13</v>
      </c>
      <c r="N15" t="s">
        <v>46</v>
      </c>
      <c r="O15" t="s">
        <v>47</v>
      </c>
      <c r="P15" s="1">
        <v>1.26875</v>
      </c>
      <c r="Q15" s="2">
        <v>0.12638888888888888</v>
      </c>
    </row>
    <row r="16" spans="1:17" x14ac:dyDescent="0.25">
      <c r="A16">
        <v>15</v>
      </c>
      <c r="B16" t="s">
        <v>48</v>
      </c>
      <c r="C16">
        <v>99</v>
      </c>
      <c r="D16" t="s">
        <v>13</v>
      </c>
      <c r="E16" t="s">
        <v>49</v>
      </c>
      <c r="F16" t="s">
        <v>35</v>
      </c>
      <c r="G16" s="1">
        <v>1.2722222222222221</v>
      </c>
      <c r="H16" s="2">
        <v>0.12708333333333333</v>
      </c>
      <c r="J16">
        <v>15</v>
      </c>
      <c r="K16" t="s">
        <v>48</v>
      </c>
      <c r="L16">
        <v>99</v>
      </c>
      <c r="M16" t="s">
        <v>13</v>
      </c>
      <c r="N16" t="s">
        <v>49</v>
      </c>
      <c r="O16" t="s">
        <v>35</v>
      </c>
      <c r="P16" s="1">
        <v>1.2722222222222221</v>
      </c>
      <c r="Q16" s="2">
        <v>0.12708333333333333</v>
      </c>
    </row>
    <row r="17" spans="1:17" x14ac:dyDescent="0.25">
      <c r="A17">
        <v>16</v>
      </c>
      <c r="B17" s="3" t="s">
        <v>50</v>
      </c>
      <c r="C17">
        <v>4</v>
      </c>
      <c r="D17" t="s">
        <v>51</v>
      </c>
      <c r="E17" t="s">
        <v>52</v>
      </c>
      <c r="F17" t="s">
        <v>53</v>
      </c>
      <c r="G17" s="1">
        <v>1.2749999999999999</v>
      </c>
      <c r="H17" s="2">
        <v>0.12708333333333333</v>
      </c>
      <c r="J17">
        <v>16</v>
      </c>
      <c r="K17" t="s">
        <v>54</v>
      </c>
      <c r="L17">
        <v>96</v>
      </c>
      <c r="M17" t="s">
        <v>13</v>
      </c>
      <c r="N17" t="s">
        <v>55</v>
      </c>
      <c r="O17" t="s">
        <v>18</v>
      </c>
      <c r="P17" s="1">
        <v>1.2749999999999999</v>
      </c>
      <c r="Q17" s="2">
        <v>0.12708333333333333</v>
      </c>
    </row>
    <row r="18" spans="1:17" x14ac:dyDescent="0.25">
      <c r="A18">
        <v>17</v>
      </c>
      <c r="B18" t="s">
        <v>54</v>
      </c>
      <c r="C18">
        <v>96</v>
      </c>
      <c r="D18" t="s">
        <v>13</v>
      </c>
      <c r="E18" t="s">
        <v>55</v>
      </c>
      <c r="F18" t="s">
        <v>18</v>
      </c>
      <c r="G18" s="1">
        <v>1.2756944444444445</v>
      </c>
      <c r="H18" s="2">
        <v>0.12708333333333333</v>
      </c>
      <c r="J18">
        <v>17</v>
      </c>
      <c r="K18" t="s">
        <v>56</v>
      </c>
      <c r="L18">
        <v>94</v>
      </c>
      <c r="M18" t="s">
        <v>13</v>
      </c>
      <c r="N18" t="s">
        <v>57</v>
      </c>
      <c r="O18" t="s">
        <v>30</v>
      </c>
      <c r="P18" s="1">
        <v>1.2756944444444445</v>
      </c>
      <c r="Q18" s="2">
        <v>0.12708333333333333</v>
      </c>
    </row>
    <row r="19" spans="1:17" x14ac:dyDescent="0.25">
      <c r="A19">
        <v>18</v>
      </c>
      <c r="B19" t="s">
        <v>56</v>
      </c>
      <c r="C19">
        <v>94</v>
      </c>
      <c r="D19" t="s">
        <v>13</v>
      </c>
      <c r="E19" t="s">
        <v>57</v>
      </c>
      <c r="F19" t="s">
        <v>30</v>
      </c>
      <c r="G19" s="1">
        <v>1.2763888888888888</v>
      </c>
      <c r="H19" s="2">
        <v>0.12708333333333333</v>
      </c>
      <c r="J19">
        <v>18</v>
      </c>
      <c r="K19" t="s">
        <v>61</v>
      </c>
      <c r="L19">
        <v>3</v>
      </c>
      <c r="M19" t="s">
        <v>13</v>
      </c>
      <c r="N19" t="s">
        <v>62</v>
      </c>
      <c r="O19" t="s">
        <v>63</v>
      </c>
      <c r="P19" s="1">
        <v>1.2923611111111111</v>
      </c>
      <c r="Q19" s="2">
        <v>0.12916666666666668</v>
      </c>
    </row>
    <row r="20" spans="1:17" x14ac:dyDescent="0.25">
      <c r="A20">
        <v>19</v>
      </c>
      <c r="B20" s="3" t="s">
        <v>58</v>
      </c>
      <c r="C20">
        <v>88</v>
      </c>
      <c r="D20" t="s">
        <v>51</v>
      </c>
      <c r="E20" t="s">
        <v>59</v>
      </c>
      <c r="F20" t="s">
        <v>60</v>
      </c>
      <c r="G20" s="1">
        <v>1.2895833333333333</v>
      </c>
      <c r="H20" s="2">
        <v>0.12847222222222221</v>
      </c>
      <c r="J20">
        <v>19</v>
      </c>
      <c r="K20" t="s">
        <v>64</v>
      </c>
      <c r="L20">
        <v>92</v>
      </c>
      <c r="M20" t="s">
        <v>13</v>
      </c>
      <c r="N20" t="s">
        <v>65</v>
      </c>
      <c r="O20" t="s">
        <v>66</v>
      </c>
      <c r="P20" s="1">
        <v>1.2993055555555555</v>
      </c>
      <c r="Q20" s="2">
        <v>0.12986111111111112</v>
      </c>
    </row>
    <row r="21" spans="1:17" x14ac:dyDescent="0.25">
      <c r="A21">
        <v>20</v>
      </c>
      <c r="B21" t="s">
        <v>61</v>
      </c>
      <c r="C21">
        <v>3</v>
      </c>
      <c r="D21" t="s">
        <v>13</v>
      </c>
      <c r="E21" t="s">
        <v>62</v>
      </c>
      <c r="F21" t="s">
        <v>63</v>
      </c>
      <c r="G21" s="1">
        <v>1.2930555555555556</v>
      </c>
      <c r="H21" s="2">
        <v>0.12916666666666668</v>
      </c>
      <c r="J21">
        <v>20</v>
      </c>
      <c r="K21" t="s">
        <v>67</v>
      </c>
      <c r="L21">
        <v>96</v>
      </c>
      <c r="M21" t="s">
        <v>13</v>
      </c>
      <c r="N21" t="s">
        <v>68</v>
      </c>
      <c r="O21" t="s">
        <v>30</v>
      </c>
      <c r="P21" s="1">
        <v>1.3006944444444444</v>
      </c>
      <c r="Q21" s="2">
        <v>0.12986111111111112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2025-03-16T14:09:20Z</dcterms:created>
  <dcterms:modified xsi:type="dcterms:W3CDTF">2025-03-16T21:09:03Z</dcterms:modified>
</cp:coreProperties>
</file>