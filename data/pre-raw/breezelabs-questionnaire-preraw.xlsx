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jan_m\Documents\0-Code\data\raw\"/>
    </mc:Choice>
  </mc:AlternateContent>
  <xr:revisionPtr revIDLastSave="0" documentId="13_ncr:1_{06D82069-5AAB-4971-964A-F4AEF74B4A8C}" xr6:coauthVersionLast="47" xr6:coauthVersionMax="47" xr10:uidLastSave="{00000000-0000-0000-0000-000000000000}"/>
  <bookViews>
    <workbookView xWindow="-120" yWindow="-120" windowWidth="29040" windowHeight="17520" activeTab="7" xr2:uid="{00000000-000D-0000-FFFF-FFFF00000000}"/>
  </bookViews>
  <sheets>
    <sheet name="Form Responses 1" sheetId="1" r:id="rId1"/>
    <sheet name="Sheet4" sheetId="5" r:id="rId2"/>
    <sheet name="step1" sheetId="2" r:id="rId3"/>
    <sheet name="step2" sheetId="3" r:id="rId4"/>
    <sheet name="step3" sheetId="4" r:id="rId5"/>
    <sheet name="step3.1" sheetId="6" r:id="rId6"/>
    <sheet name="branch1" sheetId="7" r:id="rId7"/>
    <sheet name="branch1_step2" sheetId="8" r:id="rId8"/>
  </sheets>
  <definedNames>
    <definedName name="_xlnm._FilterDatabase" localSheetId="0" hidden="1">'Form Responses 1'!$A$1:$J$49</definedName>
    <definedName name="_xlnm._FilterDatabase" localSheetId="2" hidden="1">step1!$A$1:$J$49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7" l="1" a="1"/>
  <c r="N3" i="7" s="1"/>
  <c r="N4" i="7" a="1"/>
  <c r="N4" i="7" s="1"/>
  <c r="N5" i="7" a="1"/>
  <c r="N5" i="7"/>
  <c r="N6" i="7" a="1"/>
  <c r="N6" i="7" s="1"/>
  <c r="N7" i="7" a="1"/>
  <c r="N7" i="7" s="1"/>
  <c r="N8" i="7" a="1"/>
  <c r="N8" i="7" s="1"/>
  <c r="N9" i="7" a="1"/>
  <c r="N9" i="7" s="1"/>
  <c r="N10" i="7" a="1"/>
  <c r="N10" i="7" s="1"/>
  <c r="N11" i="7" a="1"/>
  <c r="N11" i="7"/>
  <c r="N12" i="7" a="1"/>
  <c r="N12" i="7" s="1"/>
  <c r="N13" i="7" a="1"/>
  <c r="N13" i="7" s="1"/>
  <c r="N14" i="7" a="1"/>
  <c r="N14" i="7" s="1"/>
  <c r="N15" i="7" a="1"/>
  <c r="N15" i="7" s="1"/>
  <c r="N16" i="7" a="1"/>
  <c r="N16" i="7" s="1"/>
  <c r="N17" i="7" a="1"/>
  <c r="N17" i="7"/>
  <c r="N18" i="7" a="1"/>
  <c r="N18" i="7" s="1"/>
  <c r="N19" i="7" a="1"/>
  <c r="N19" i="7" s="1"/>
  <c r="N20" i="7" a="1"/>
  <c r="N20" i="7" s="1"/>
  <c r="N21" i="7" a="1"/>
  <c r="N21" i="7" s="1"/>
  <c r="N22" i="7" a="1"/>
  <c r="N22" i="7" s="1"/>
  <c r="N23" i="7" a="1"/>
  <c r="N23" i="7"/>
  <c r="N24" i="7" a="1"/>
  <c r="N24" i="7" s="1"/>
  <c r="N25" i="7" a="1"/>
  <c r="N25" i="7" s="1"/>
  <c r="N26" i="7" a="1"/>
  <c r="N26" i="7" s="1"/>
  <c r="N27" i="7" a="1"/>
  <c r="N27" i="7" s="1"/>
  <c r="N28" i="7" a="1"/>
  <c r="N28" i="7" s="1"/>
  <c r="N29" i="7" a="1"/>
  <c r="N29" i="7"/>
  <c r="N30" i="7" a="1"/>
  <c r="N30" i="7" s="1"/>
  <c r="N31" i="7" a="1"/>
  <c r="N31" i="7" s="1"/>
  <c r="N32" i="7" a="1"/>
  <c r="N32" i="7" s="1"/>
  <c r="N33" i="7" a="1"/>
  <c r="N33" i="7" s="1"/>
  <c r="N34" i="7" a="1"/>
  <c r="N34" i="7" s="1"/>
  <c r="N35" i="7" a="1"/>
  <c r="N35" i="7"/>
  <c r="N36" i="7" a="1"/>
  <c r="N36" i="7" s="1"/>
  <c r="N37" i="7" a="1"/>
  <c r="N37" i="7" s="1"/>
  <c r="N38" i="7" a="1"/>
  <c r="N38" i="7" s="1"/>
  <c r="N39" i="7" a="1"/>
  <c r="N39" i="7" s="1"/>
  <c r="N40" i="7" a="1"/>
  <c r="N40" i="7" s="1"/>
  <c r="N41" i="7" a="1"/>
  <c r="N41" i="7"/>
  <c r="N42" i="7" a="1"/>
  <c r="N42" i="7" s="1"/>
  <c r="N43" i="7" a="1"/>
  <c r="N43" i="7" s="1"/>
  <c r="N44" i="7" a="1"/>
  <c r="N44" i="7" s="1"/>
  <c r="N45" i="7" a="1"/>
  <c r="N45" i="7" s="1"/>
  <c r="N46" i="7" a="1"/>
  <c r="N46" i="7" s="1"/>
  <c r="N47" i="7" a="1"/>
  <c r="N47" i="7" s="1"/>
  <c r="N48" i="7" a="1"/>
  <c r="N48" i="7" s="1"/>
  <c r="N49" i="7" a="1"/>
  <c r="N49" i="7" s="1"/>
  <c r="N2" i="7" a="1"/>
  <c r="N2" i="7" s="1"/>
  <c r="L3" i="7" a="1"/>
  <c r="L3" i="7" s="1"/>
  <c r="L4" i="7" a="1"/>
  <c r="L4" i="7" s="1"/>
  <c r="L5" i="7" a="1"/>
  <c r="L5" i="7" s="1"/>
  <c r="L6" i="7" a="1"/>
  <c r="L6" i="7" s="1"/>
  <c r="L7" i="7" a="1"/>
  <c r="L7" i="7" s="1"/>
  <c r="L8" i="7" a="1"/>
  <c r="L8" i="7" s="1"/>
  <c r="L9" i="7" a="1"/>
  <c r="L9" i="7" s="1"/>
  <c r="L10" i="7" a="1"/>
  <c r="L10" i="7" s="1"/>
  <c r="L11" i="7" a="1"/>
  <c r="L11" i="7"/>
  <c r="L12" i="7" a="1"/>
  <c r="L12" i="7" s="1"/>
  <c r="L13" i="7" a="1"/>
  <c r="L13" i="7" s="1"/>
  <c r="L14" i="7" a="1"/>
  <c r="L14" i="7"/>
  <c r="L15" i="7" a="1"/>
  <c r="L15" i="7" s="1"/>
  <c r="L16" i="7" a="1"/>
  <c r="L16" i="7" s="1"/>
  <c r="L17" i="7" a="1"/>
  <c r="L17" i="7" s="1"/>
  <c r="L18" i="7" a="1"/>
  <c r="L18" i="7" s="1"/>
  <c r="L19" i="7" a="1"/>
  <c r="L19" i="7" s="1"/>
  <c r="L20" i="7" a="1"/>
  <c r="L20" i="7" s="1"/>
  <c r="L21" i="7" a="1"/>
  <c r="L21" i="7" s="1"/>
  <c r="L22" i="7" a="1"/>
  <c r="L22" i="7" s="1"/>
  <c r="L23" i="7" a="1"/>
  <c r="L23" i="7"/>
  <c r="L24" i="7" a="1"/>
  <c r="L24" i="7" s="1"/>
  <c r="L25" i="7" a="1"/>
  <c r="L25" i="7" s="1"/>
  <c r="L26" i="7" a="1"/>
  <c r="L26" i="7" s="1"/>
  <c r="L27" i="7" a="1"/>
  <c r="L27" i="7" s="1"/>
  <c r="L28" i="7" a="1"/>
  <c r="L28" i="7" s="1"/>
  <c r="L29" i="7" a="1"/>
  <c r="L29" i="7" s="1"/>
  <c r="L30" i="7" a="1"/>
  <c r="L30" i="7" s="1"/>
  <c r="L31" i="7" a="1"/>
  <c r="L31" i="7" s="1"/>
  <c r="L32" i="7" a="1"/>
  <c r="L32" i="7" s="1"/>
  <c r="L33" i="7" a="1"/>
  <c r="L33" i="7" s="1"/>
  <c r="L34" i="7" a="1"/>
  <c r="L34" i="7" s="1"/>
  <c r="L35" i="7" a="1"/>
  <c r="L35" i="7" s="1"/>
  <c r="L36" i="7" a="1"/>
  <c r="L36" i="7" s="1"/>
  <c r="L37" i="7" a="1"/>
  <c r="L37" i="7" s="1"/>
  <c r="L38" i="7" a="1"/>
  <c r="L38" i="7" s="1"/>
  <c r="L39" i="7" a="1"/>
  <c r="L39" i="7" s="1"/>
  <c r="L40" i="7" a="1"/>
  <c r="L40" i="7" s="1"/>
  <c r="L41" i="7" a="1"/>
  <c r="L41" i="7" s="1"/>
  <c r="L42" i="7" a="1"/>
  <c r="L42" i="7" s="1"/>
  <c r="L43" i="7" a="1"/>
  <c r="L43" i="7" s="1"/>
  <c r="L44" i="7" a="1"/>
  <c r="L44" i="7"/>
  <c r="L45" i="7" a="1"/>
  <c r="L45" i="7" s="1"/>
  <c r="L46" i="7" a="1"/>
  <c r="L46" i="7" s="1"/>
  <c r="L47" i="7" a="1"/>
  <c r="L47" i="7" s="1"/>
  <c r="L48" i="7" a="1"/>
  <c r="L48" i="7" s="1"/>
  <c r="L49" i="7" a="1"/>
  <c r="L49" i="7" s="1"/>
  <c r="L2" i="7" a="1"/>
  <c r="L2" i="7" s="1"/>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2" i="7"/>
  <c r="F3" i="7" a="1"/>
  <c r="F3" i="7" s="1"/>
  <c r="F4" i="7" a="1"/>
  <c r="F4" i="7" s="1"/>
  <c r="F5" i="7" a="1"/>
  <c r="F5" i="7" s="1"/>
  <c r="F6" i="7" a="1"/>
  <c r="F6" i="7" s="1"/>
  <c r="F7" i="7" a="1"/>
  <c r="F7" i="7" s="1"/>
  <c r="F8" i="7" a="1"/>
  <c r="F8" i="7" s="1"/>
  <c r="F9" i="7" a="1"/>
  <c r="F9" i="7" s="1"/>
  <c r="F10" i="7" a="1"/>
  <c r="F10" i="7" s="1"/>
  <c r="F11" i="7" a="1"/>
  <c r="F11" i="7" s="1"/>
  <c r="F12" i="7" a="1"/>
  <c r="F12" i="7" s="1"/>
  <c r="F13" i="7" a="1"/>
  <c r="F13" i="7" s="1"/>
  <c r="F14" i="7" a="1"/>
  <c r="F14" i="7" s="1"/>
  <c r="F15" i="7" a="1"/>
  <c r="F15" i="7" s="1"/>
  <c r="F16" i="7" a="1"/>
  <c r="F16" i="7" s="1"/>
  <c r="F17" i="7" a="1"/>
  <c r="F17" i="7" s="1"/>
  <c r="F18" i="7" a="1"/>
  <c r="F18" i="7" s="1"/>
  <c r="F19" i="7" a="1"/>
  <c r="F19" i="7" s="1"/>
  <c r="F20" i="7" a="1"/>
  <c r="F20" i="7" s="1"/>
  <c r="F21" i="7" a="1"/>
  <c r="F21" i="7" s="1"/>
  <c r="F22" i="7" a="1"/>
  <c r="F22" i="7" s="1"/>
  <c r="F23" i="7" a="1"/>
  <c r="F23" i="7" s="1"/>
  <c r="F24" i="7" a="1"/>
  <c r="F24" i="7" s="1"/>
  <c r="F25" i="7" a="1"/>
  <c r="F25" i="7" s="1"/>
  <c r="F26" i="7" a="1"/>
  <c r="F26" i="7" s="1"/>
  <c r="F27" i="7" a="1"/>
  <c r="F27" i="7" s="1"/>
  <c r="F28" i="7" a="1"/>
  <c r="F28" i="7" s="1"/>
  <c r="F29" i="7" a="1"/>
  <c r="F29" i="7" s="1"/>
  <c r="F30" i="7" a="1"/>
  <c r="F30" i="7" s="1"/>
  <c r="F31" i="7" a="1"/>
  <c r="F31" i="7" s="1"/>
  <c r="F32" i="7" a="1"/>
  <c r="F32" i="7" s="1"/>
  <c r="F33" i="7" a="1"/>
  <c r="F33" i="7" s="1"/>
  <c r="F34" i="7" a="1"/>
  <c r="F34" i="7" s="1"/>
  <c r="F35" i="7" a="1"/>
  <c r="F35" i="7" s="1"/>
  <c r="F36" i="7" a="1"/>
  <c r="F36" i="7" s="1"/>
  <c r="F37" i="7" a="1"/>
  <c r="F37" i="7" s="1"/>
  <c r="F38" i="7" a="1"/>
  <c r="F38" i="7" s="1"/>
  <c r="F39" i="7" a="1"/>
  <c r="F39" i="7" s="1"/>
  <c r="F40" i="7" a="1"/>
  <c r="F40" i="7" s="1"/>
  <c r="F41" i="7" a="1"/>
  <c r="F41" i="7" s="1"/>
  <c r="F42" i="7" a="1"/>
  <c r="F42" i="7" s="1"/>
  <c r="F43" i="7" a="1"/>
  <c r="F43" i="7" s="1"/>
  <c r="F44" i="7" a="1"/>
  <c r="F44" i="7" s="1"/>
  <c r="F45" i="7" a="1"/>
  <c r="F45" i="7" s="1"/>
  <c r="F46" i="7" a="1"/>
  <c r="F46" i="7" s="1"/>
  <c r="F47" i="7" a="1"/>
  <c r="F47" i="7" s="1"/>
  <c r="F48" i="7" a="1"/>
  <c r="F48" i="7" s="1"/>
  <c r="F49" i="7" a="1"/>
  <c r="F49" i="7" s="1"/>
  <c r="F2" i="7" a="1"/>
  <c r="F2" i="7" s="1"/>
  <c r="J3" i="7" a="1"/>
  <c r="J3" i="7" s="1"/>
  <c r="J4" i="7" a="1"/>
  <c r="J4" i="7" s="1"/>
  <c r="J5" i="7" a="1"/>
  <c r="J5" i="7" s="1"/>
  <c r="J6" i="7" a="1"/>
  <c r="J6" i="7" s="1"/>
  <c r="J7" i="7" a="1"/>
  <c r="J7" i="7" s="1"/>
  <c r="J8" i="7" a="1"/>
  <c r="J8" i="7" s="1"/>
  <c r="J9" i="7" a="1"/>
  <c r="J9" i="7" s="1"/>
  <c r="J10" i="7" a="1"/>
  <c r="J10" i="7" s="1"/>
  <c r="J11" i="7" a="1"/>
  <c r="J11" i="7" s="1"/>
  <c r="J12" i="7" a="1"/>
  <c r="J12" i="7" s="1"/>
  <c r="J13" i="7" a="1"/>
  <c r="J13" i="7" s="1"/>
  <c r="J14" i="7" a="1"/>
  <c r="J14" i="7" s="1"/>
  <c r="J15" i="7" a="1"/>
  <c r="J15" i="7" s="1"/>
  <c r="J16" i="7" a="1"/>
  <c r="J16" i="7" s="1"/>
  <c r="J17" i="7" a="1"/>
  <c r="J17" i="7" s="1"/>
  <c r="J18" i="7" a="1"/>
  <c r="J18" i="7" s="1"/>
  <c r="J19" i="7" a="1"/>
  <c r="J19" i="7" s="1"/>
  <c r="J20" i="7" a="1"/>
  <c r="J20" i="7" s="1"/>
  <c r="J21" i="7" a="1"/>
  <c r="J21" i="7" s="1"/>
  <c r="J22" i="7" a="1"/>
  <c r="J22" i="7" s="1"/>
  <c r="J23" i="7" a="1"/>
  <c r="J23" i="7" s="1"/>
  <c r="J24" i="7" a="1"/>
  <c r="J24" i="7" s="1"/>
  <c r="J25" i="7" a="1"/>
  <c r="J25" i="7" s="1"/>
  <c r="J26" i="7" a="1"/>
  <c r="J26" i="7" s="1"/>
  <c r="J27" i="7" a="1"/>
  <c r="J27" i="7" s="1"/>
  <c r="J28" i="7" a="1"/>
  <c r="J28" i="7" s="1"/>
  <c r="J29" i="7" a="1"/>
  <c r="J29" i="7" s="1"/>
  <c r="J30" i="7" a="1"/>
  <c r="J30" i="7" s="1"/>
  <c r="J31" i="7" a="1"/>
  <c r="J31" i="7" s="1"/>
  <c r="J32" i="7" a="1"/>
  <c r="J32" i="7" s="1"/>
  <c r="J33" i="7" a="1"/>
  <c r="J33" i="7" s="1"/>
  <c r="J34" i="7" a="1"/>
  <c r="J34" i="7" s="1"/>
  <c r="J35" i="7" a="1"/>
  <c r="J35" i="7" s="1"/>
  <c r="J36" i="7" a="1"/>
  <c r="J36" i="7" s="1"/>
  <c r="J37" i="7" a="1"/>
  <c r="J37" i="7" s="1"/>
  <c r="J38" i="7" a="1"/>
  <c r="J38" i="7" s="1"/>
  <c r="J39" i="7" a="1"/>
  <c r="J39" i="7" s="1"/>
  <c r="J40" i="7" a="1"/>
  <c r="J40" i="7" s="1"/>
  <c r="J41" i="7" a="1"/>
  <c r="J41" i="7" s="1"/>
  <c r="J42" i="7" a="1"/>
  <c r="J42" i="7" s="1"/>
  <c r="J43" i="7" a="1"/>
  <c r="J43" i="7" s="1"/>
  <c r="J44" i="7" a="1"/>
  <c r="J44" i="7" s="1"/>
  <c r="J45" i="7" a="1"/>
  <c r="J45" i="7" s="1"/>
  <c r="J46" i="7" a="1"/>
  <c r="J46" i="7" s="1"/>
  <c r="J47" i="7" a="1"/>
  <c r="J47" i="7" s="1"/>
  <c r="J48" i="7" a="1"/>
  <c r="J48" i="7" s="1"/>
  <c r="J49" i="7" a="1"/>
  <c r="J49" i="7" s="1"/>
  <c r="J2" i="7" a="1"/>
  <c r="J2" i="7" s="1"/>
  <c r="H3" i="7" a="1"/>
  <c r="H3" i="7" s="1"/>
  <c r="H4" i="7" a="1"/>
  <c r="H4" i="7" s="1"/>
  <c r="H5" i="7" a="1"/>
  <c r="H5" i="7" s="1"/>
  <c r="H6" i="7" a="1"/>
  <c r="H6" i="7" s="1"/>
  <c r="H7" i="7" a="1"/>
  <c r="H7" i="7" s="1"/>
  <c r="H8" i="7" a="1"/>
  <c r="H8" i="7" s="1"/>
  <c r="H9" i="7" a="1"/>
  <c r="H9" i="7" s="1"/>
  <c r="H10" i="7" a="1"/>
  <c r="H10" i="7" s="1"/>
  <c r="H11" i="7" a="1"/>
  <c r="H11" i="7" s="1"/>
  <c r="H12" i="7" a="1"/>
  <c r="H12" i="7" s="1"/>
  <c r="H13" i="7" a="1"/>
  <c r="H13" i="7" s="1"/>
  <c r="H14" i="7" a="1"/>
  <c r="H14" i="7" s="1"/>
  <c r="H15" i="7" a="1"/>
  <c r="H15" i="7" s="1"/>
  <c r="H16" i="7" a="1"/>
  <c r="H16" i="7" s="1"/>
  <c r="H17" i="7" a="1"/>
  <c r="H17" i="7" s="1"/>
  <c r="H18" i="7" a="1"/>
  <c r="H18" i="7" s="1"/>
  <c r="H19" i="7" a="1"/>
  <c r="H19" i="7" s="1"/>
  <c r="H20" i="7" a="1"/>
  <c r="H20" i="7" s="1"/>
  <c r="H21" i="7" a="1"/>
  <c r="H21" i="7" s="1"/>
  <c r="H22" i="7" a="1"/>
  <c r="H22" i="7" s="1"/>
  <c r="H23" i="7" a="1"/>
  <c r="H23" i="7" s="1"/>
  <c r="H24" i="7" a="1"/>
  <c r="H24" i="7" s="1"/>
  <c r="H25" i="7" a="1"/>
  <c r="H25" i="7" s="1"/>
  <c r="H26" i="7" a="1"/>
  <c r="H26" i="7" s="1"/>
  <c r="H27" i="7" a="1"/>
  <c r="H27" i="7" s="1"/>
  <c r="H28" i="7" a="1"/>
  <c r="H28" i="7" s="1"/>
  <c r="H29" i="7" a="1"/>
  <c r="H29" i="7" s="1"/>
  <c r="H30" i="7" a="1"/>
  <c r="H30" i="7" s="1"/>
  <c r="H31" i="7" a="1"/>
  <c r="H31" i="7" s="1"/>
  <c r="H32" i="7" a="1"/>
  <c r="H32" i="7" s="1"/>
  <c r="H33" i="7" a="1"/>
  <c r="H33" i="7" s="1"/>
  <c r="H34" i="7" a="1"/>
  <c r="H34" i="7" s="1"/>
  <c r="H35" i="7" a="1"/>
  <c r="H35" i="7" s="1"/>
  <c r="H36" i="7" a="1"/>
  <c r="H36" i="7" s="1"/>
  <c r="H37" i="7" a="1"/>
  <c r="H37" i="7" s="1"/>
  <c r="H38" i="7" a="1"/>
  <c r="H38" i="7" s="1"/>
  <c r="H39" i="7" a="1"/>
  <c r="H39" i="7" s="1"/>
  <c r="H40" i="7" a="1"/>
  <c r="H40" i="7" s="1"/>
  <c r="H41" i="7" a="1"/>
  <c r="H41" i="7" s="1"/>
  <c r="H42" i="7" a="1"/>
  <c r="H42" i="7" s="1"/>
  <c r="H43" i="7" a="1"/>
  <c r="H43" i="7" s="1"/>
  <c r="H44" i="7" a="1"/>
  <c r="H44" i="7" s="1"/>
  <c r="H45" i="7" a="1"/>
  <c r="H45" i="7" s="1"/>
  <c r="H46" i="7" a="1"/>
  <c r="H46" i="7" s="1"/>
  <c r="H47" i="7" a="1"/>
  <c r="H47" i="7" s="1"/>
  <c r="H48" i="7" a="1"/>
  <c r="H48" i="7" s="1"/>
  <c r="H49" i="7" a="1"/>
  <c r="H49" i="7" s="1"/>
  <c r="H2" i="7" a="1"/>
  <c r="H2" i="7" s="1"/>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2"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2"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2" i="4"/>
  <c r="F3" i="4"/>
  <c r="G3" i="4"/>
  <c r="H3" i="4"/>
  <c r="F4" i="4"/>
  <c r="G4" i="4"/>
  <c r="H4" i="4"/>
  <c r="F5" i="4"/>
  <c r="G5" i="4"/>
  <c r="H5" i="4"/>
  <c r="F6" i="4"/>
  <c r="G6" i="4"/>
  <c r="H6" i="4"/>
  <c r="F7" i="4"/>
  <c r="G7" i="4"/>
  <c r="H7" i="4"/>
  <c r="F8" i="4"/>
  <c r="G8" i="4"/>
  <c r="H8" i="4"/>
  <c r="F9" i="4"/>
  <c r="G9" i="4"/>
  <c r="H9" i="4"/>
  <c r="F10" i="4"/>
  <c r="G10" i="4"/>
  <c r="H10" i="4"/>
  <c r="F11" i="4"/>
  <c r="G11" i="4"/>
  <c r="H11" i="4"/>
  <c r="F12" i="4"/>
  <c r="G12" i="4"/>
  <c r="H12" i="4"/>
  <c r="F13" i="4"/>
  <c r="G13" i="4"/>
  <c r="H13" i="4"/>
  <c r="F14" i="4"/>
  <c r="G14" i="4"/>
  <c r="H14" i="4"/>
  <c r="F15" i="4"/>
  <c r="G15" i="4"/>
  <c r="H15" i="4"/>
  <c r="F16" i="4"/>
  <c r="G16" i="4"/>
  <c r="H16" i="4"/>
  <c r="F17" i="4"/>
  <c r="G17" i="4"/>
  <c r="H17" i="4"/>
  <c r="F18"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F38" i="4"/>
  <c r="G38" i="4"/>
  <c r="H38" i="4"/>
  <c r="F39" i="4"/>
  <c r="G39" i="4"/>
  <c r="H39" i="4"/>
  <c r="F40" i="4"/>
  <c r="G40" i="4"/>
  <c r="H40" i="4"/>
  <c r="F41" i="4"/>
  <c r="G41" i="4"/>
  <c r="H41" i="4"/>
  <c r="F42" i="4"/>
  <c r="G42" i="4"/>
  <c r="H42" i="4"/>
  <c r="F43" i="4"/>
  <c r="G43" i="4"/>
  <c r="H43" i="4"/>
  <c r="F44" i="4"/>
  <c r="G44" i="4"/>
  <c r="H44" i="4"/>
  <c r="F45" i="4"/>
  <c r="G45" i="4"/>
  <c r="H45" i="4"/>
  <c r="F46" i="4"/>
  <c r="G46" i="4"/>
  <c r="H46" i="4"/>
  <c r="F47" i="4"/>
  <c r="G47" i="4"/>
  <c r="H47" i="4"/>
  <c r="F48" i="4"/>
  <c r="G48" i="4"/>
  <c r="H48" i="4"/>
  <c r="F49" i="4"/>
  <c r="G49" i="4"/>
  <c r="H49" i="4"/>
  <c r="G2" i="4"/>
  <c r="H2" i="4"/>
  <c r="F2" i="4"/>
  <c r="O3" i="4" a="1"/>
  <c r="O3" i="4" s="1"/>
  <c r="O4" i="4" a="1"/>
  <c r="O4" i="4" s="1"/>
  <c r="O5" i="4" a="1"/>
  <c r="O5" i="4" s="1"/>
  <c r="O6" i="4" a="1"/>
  <c r="O6" i="4" s="1"/>
  <c r="O7" i="4" a="1"/>
  <c r="O7" i="4" s="1"/>
  <c r="O8" i="4" a="1"/>
  <c r="O8" i="4" s="1"/>
  <c r="O9" i="4" a="1"/>
  <c r="O9" i="4" s="1"/>
  <c r="O10" i="4" a="1"/>
  <c r="O10" i="4" s="1"/>
  <c r="O11" i="4" a="1"/>
  <c r="O11" i="4" s="1"/>
  <c r="O12" i="4" a="1"/>
  <c r="O12" i="4" s="1"/>
  <c r="O13" i="4" a="1"/>
  <c r="O13" i="4" s="1"/>
  <c r="O14" i="4" a="1"/>
  <c r="O14" i="4" s="1"/>
  <c r="O15" i="4" a="1"/>
  <c r="O15" i="4" s="1"/>
  <c r="O16" i="4" a="1"/>
  <c r="O16" i="4" s="1"/>
  <c r="O17" i="4" a="1"/>
  <c r="O17" i="4" s="1"/>
  <c r="O18" i="4" a="1"/>
  <c r="O18" i="4" s="1"/>
  <c r="O19" i="4" a="1"/>
  <c r="O19" i="4" s="1"/>
  <c r="O20" i="4" a="1"/>
  <c r="O20" i="4" s="1"/>
  <c r="O21" i="4" a="1"/>
  <c r="O21" i="4" s="1"/>
  <c r="O22" i="4" a="1"/>
  <c r="O22" i="4" s="1"/>
  <c r="O23" i="4" a="1"/>
  <c r="O23" i="4" s="1"/>
  <c r="O24" i="4" a="1"/>
  <c r="O24" i="4" s="1"/>
  <c r="O25" i="4" a="1"/>
  <c r="O25" i="4" s="1"/>
  <c r="O26" i="4" a="1"/>
  <c r="O26" i="4" s="1"/>
  <c r="O27" i="4" a="1"/>
  <c r="O27" i="4" s="1"/>
  <c r="O28" i="4" a="1"/>
  <c r="O28" i="4" s="1"/>
  <c r="O29" i="4" a="1"/>
  <c r="O29" i="4" s="1"/>
  <c r="O30" i="4" a="1"/>
  <c r="O30" i="4" s="1"/>
  <c r="O31" i="4" a="1"/>
  <c r="O31" i="4" s="1"/>
  <c r="O32" i="4" a="1"/>
  <c r="O32" i="4" s="1"/>
  <c r="O33" i="4" a="1"/>
  <c r="O33" i="4" s="1"/>
  <c r="O34" i="4" a="1"/>
  <c r="O34" i="4" s="1"/>
  <c r="O35" i="4" a="1"/>
  <c r="O35" i="4" s="1"/>
  <c r="O36" i="4" a="1"/>
  <c r="O36" i="4" s="1"/>
  <c r="O37" i="4" a="1"/>
  <c r="O37" i="4" s="1"/>
  <c r="O38" i="4" a="1"/>
  <c r="O38" i="4" s="1"/>
  <c r="O39" i="4" a="1"/>
  <c r="O39" i="4" s="1"/>
  <c r="O40" i="4" a="1"/>
  <c r="O40" i="4" s="1"/>
  <c r="O41" i="4" a="1"/>
  <c r="O41" i="4" s="1"/>
  <c r="O42" i="4" a="1"/>
  <c r="O42" i="4" s="1"/>
  <c r="O43" i="4" a="1"/>
  <c r="O43" i="4" s="1"/>
  <c r="O44" i="4" a="1"/>
  <c r="O44" i="4" s="1"/>
  <c r="O45" i="4" a="1"/>
  <c r="O45" i="4" s="1"/>
  <c r="O46" i="4" a="1"/>
  <c r="O46" i="4" s="1"/>
  <c r="O47" i="4" a="1"/>
  <c r="O47" i="4" s="1"/>
  <c r="O48" i="4" a="1"/>
  <c r="O48" i="4" s="1"/>
  <c r="O49" i="4" a="1"/>
  <c r="O49" i="4" s="1"/>
  <c r="O2" i="4" a="1"/>
  <c r="O2" i="4" s="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<sst xmlns="http://schemas.openxmlformats.org/spreadsheetml/2006/main" count="2322" uniqueCount="109">
  <si>
    <t>Timestamp</t>
  </si>
  <si>
    <t>How often do you go running?</t>
  </si>
  <si>
    <t>Where do you usually run?</t>
  </si>
  <si>
    <t>Do you track your running performance?</t>
  </si>
  <si>
    <t>Are you measuring your breathing rate (via chest strap, smart shirt, etc.)?</t>
  </si>
  <si>
    <t>Would you be willing to pay to get an accurate breathing rate measurement during running if you have to wear headphones?</t>
  </si>
  <si>
    <t>Would you be willing to pay for receiving additional information derived from your breathing rate (e.g. aerobic threshold, training load, recovery time, personalized training advice)?</t>
  </si>
  <si>
    <t>If you answered Yes in one or both of the previous question, which payment method would you prefer?</t>
  </si>
  <si>
    <t>What brand / model are your headphones?</t>
  </si>
  <si>
    <t>Do you have any additional comments?</t>
  </si>
  <si>
    <t>3-5 times / week</t>
  </si>
  <si>
    <t>Nature</t>
  </si>
  <si>
    <t>Yes, and I pay for it (bought hardware and/or subscription)</t>
  </si>
  <si>
    <t>No</t>
  </si>
  <si>
    <t>Yes, but only if I can use my own headset</t>
  </si>
  <si>
    <t>One-time payment</t>
  </si>
  <si>
    <t>Jabra</t>
  </si>
  <si>
    <t>1-2 times / week</t>
  </si>
  <si>
    <t>Yes, during sleep / resting periods</t>
  </si>
  <si>
    <t>No, I'm not interested in breathing related data</t>
  </si>
  <si>
    <t>LG</t>
  </si>
  <si>
    <t>City</t>
  </si>
  <si>
    <t>Yes, and it's for free</t>
  </si>
  <si>
    <t>Subscription</t>
  </si>
  <si>
    <t>JBL</t>
  </si>
  <si>
    <t>Airpods pro</t>
  </si>
  <si>
    <t>Yes, even if I have to use a specific headset</t>
  </si>
  <si>
    <t>Bose</t>
  </si>
  <si>
    <t xml:space="preserve">I wouldnt Like to pay for the data </t>
  </si>
  <si>
    <t>Shokz</t>
  </si>
  <si>
    <t>No, I don't want to wear a headset during running</t>
  </si>
  <si>
    <t>Yes, when exercising</t>
  </si>
  <si>
    <t>Both city/nature</t>
  </si>
  <si>
    <t>Apple</t>
  </si>
  <si>
    <t>Yes, always</t>
  </si>
  <si>
    <t>Apple AirPods pro</t>
  </si>
  <si>
    <t>Schokz OpenRun</t>
  </si>
  <si>
    <t xml:space="preserve">It depends a bit on the accuracy of the information that I get from the breathing measurements. Secondly, Interpretation and recommendations are important. At the moment I don't really consider my heart rate during running for example, because I don't really know how to interpret the data and change my programme accordingly. </t>
  </si>
  <si>
    <t>Yes, but only if I can use my own headphones</t>
  </si>
  <si>
    <t>Airpods 2</t>
  </si>
  <si>
    <t>Less than once per week</t>
  </si>
  <si>
    <t>Yes, even if I have to use specific headphones</t>
  </si>
  <si>
    <t>Sony</t>
  </si>
  <si>
    <t>Apple airpods pro 2</t>
  </si>
  <si>
    <t>Indoors</t>
  </si>
  <si>
    <t>Nature and City</t>
  </si>
  <si>
    <t>Bose SoundSport</t>
  </si>
  <si>
    <t xml:space="preserve">My chest strap is broken, i need a new one. </t>
  </si>
  <si>
    <t>Air Pods</t>
  </si>
  <si>
    <t>No, I don't want to wear headphones during running</t>
  </si>
  <si>
    <t>---</t>
  </si>
  <si>
    <t>airpods pro</t>
  </si>
  <si>
    <t>jabra elite 85t</t>
  </si>
  <si>
    <t>I do measure breathing via my Smartwatch all the time but I don't use the data for anything. I am not aware on how I could use the date that's why it is very difficult to answer this questions. If I would know how to use, I would probably decide different. Currently I train completely on HR. Regarding the Headset. I sometimes wear on during training but never during a race. Additionally I run a lot with other people which would influence a correct measurement of breathing.</t>
  </si>
  <si>
    <t>6 or more times / week</t>
  </si>
  <si>
    <t>JLAB</t>
  </si>
  <si>
    <t>Air pods 2gen</t>
  </si>
  <si>
    <t xml:space="preserve">I really liked your question about what payment a customer would prefer bc. I feel like nowadays EVERYTHING is paid in a subscription model and I hear many people complaining about it. I feel like it would be very welcomed to go back to the one payment principle. </t>
  </si>
  <si>
    <t>Beats</t>
  </si>
  <si>
    <t>Apple AirPods 2</t>
  </si>
  <si>
    <t>Road, nature and track</t>
  </si>
  <si>
    <t>Airpods</t>
  </si>
  <si>
    <t>Maybe for a casual runner the solution is great, from my point of view as an athlete you can have different sources of information e.g. Garmin as wearable + pulse band, intramuscular oxygen band, whoop/oura for recovery and sleep, monitoring with your coach on training peaks, VO2Max test analysis and nutrition needs, supplements.... So it is important to find out how to add another step in the process in the easiest possible way and what the clear advantage is.</t>
  </si>
  <si>
    <t>-</t>
  </si>
  <si>
    <t xml:space="preserve">Apple AirPods Pro </t>
  </si>
  <si>
    <t>Apple Airpods Pro</t>
  </si>
  <si>
    <t>AirPods Pro</t>
  </si>
  <si>
    <t>Samsung Galaxy Buds</t>
  </si>
  <si>
    <t>SONY WF1000XM3</t>
  </si>
  <si>
    <t>Bose earbuds</t>
  </si>
  <si>
    <t>JLab Go Air Sport</t>
  </si>
  <si>
    <t>run_freq</t>
  </si>
  <si>
    <t>run_loc</t>
  </si>
  <si>
    <t>tracking</t>
  </si>
  <si>
    <t>breathing_measured</t>
  </si>
  <si>
    <t>buy_breathing</t>
  </si>
  <si>
    <t>buy_trainingdata</t>
  </si>
  <si>
    <t>payment_method</t>
  </si>
  <si>
    <t>brand</t>
  </si>
  <si>
    <t>comment</t>
  </si>
  <si>
    <t>timestamp</t>
  </si>
  <si>
    <t>time_num</t>
  </si>
  <si>
    <t>tracking_paid</t>
  </si>
  <si>
    <t>tracking_raw</t>
  </si>
  <si>
    <t>breath_measured</t>
  </si>
  <si>
    <t>breath_measured_when</t>
  </si>
  <si>
    <t>I never go running</t>
  </si>
  <si>
    <t>city</t>
  </si>
  <si>
    <t>nature</t>
  </si>
  <si>
    <t>indoors</t>
  </si>
  <si>
    <t>fun_freq</t>
  </si>
  <si>
    <t>interest_breathing</t>
  </si>
  <si>
    <t>dislike_headphones</t>
  </si>
  <si>
    <t>only_own_headset</t>
  </si>
  <si>
    <t>running_loc</t>
  </si>
  <si>
    <t>3</t>
  </si>
  <si>
    <t>paid</t>
  </si>
  <si>
    <t>no</t>
  </si>
  <si>
    <t>only own headphones</t>
  </si>
  <si>
    <t>1</t>
  </si>
  <si>
    <t>sleep</t>
  </si>
  <si>
    <t>not interested</t>
  </si>
  <si>
    <t>free</t>
  </si>
  <si>
    <t>any headphones</t>
  </si>
  <si>
    <t>dislikes headphones</t>
  </si>
  <si>
    <t>exercise</t>
  </si>
  <si>
    <t>other</t>
  </si>
  <si>
    <t>always</t>
  </si>
  <si>
    <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</si>
</sst>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sz val="10"/>
      <color rgb="FF000000"/>
      <name val="Arial"/>
      <family val="2"/>
      <scheme val="minor"/>
    </font>
    <font>
      <sz val="10"/>
      <name val="Arial"/>
      <family val="2"/>
      <scheme val="minor"/>
    </font>
    <font>
      <sz val="11"/>
      <name val="Arial"/>
      <family val="2"/>
      <scheme val="minor"/>
    </font>
  </fonts>
  <fills count="2">
    <fill>
      <patternFill patternType="none"/>
    </fill>
    <fill>
      <patternFill patternType="gray125"/>
    </fill>
  </fills>
  <borders count="12">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21">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2" fillId="0" borderId="0" xfId="0" applyFont="1"/>
    <xf numFmtId="0" fontId="3" fillId="0" borderId="0" xfId="0" applyFont="1"/>
    <xf numFmtId="0" fontId="4" fillId="0" borderId="0" xfId="0" applyFont="1"/>
    <xf numFmtId="1" fontId="0" fillId="0" borderId="0" xfId="0" applyNumberFormat="1" applyAlignment="1">
      <alignment horizontal="right"/>
    </xf>
    <xf numFmtId="0" fontId="0" fillId="0" borderId="0" xfId="0" applyBorder="1"/>
    <xf numFmtId="0" fontId="1" fillId="0" borderId="0" xfId="0" applyFont="1" applyBorder="1" applyAlignment="1">
      <alignment horizontal="left" vertical="center"/>
    </xf>
    <xf numFmtId="164" fontId="1" fillId="0" borderId="0" xfId="0" applyNumberFormat="1" applyFont="1" applyBorder="1" applyAlignment="1">
      <alignment vertical="center"/>
    </xf>
    <xf numFmtId="0" fontId="0" fillId="0" borderId="0" xfId="0" applyAlignment="1">
      <alignment horizontal="right"/>
    </xf>
    <xf numFmtId="1" fontId="2" fillId="0" borderId="0" xfId="0" applyNumberFormat="1" applyFont="1" applyAlignment="1">
      <alignment horizontal="right"/>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J49">
  <autoFilter ref="A1:J49" xr:uid="{00000000-0009-0000-0100-000001000000}"/>
  <tableColumns count="10">
    <tableColumn id="1" xr3:uid="{00000000-0010-0000-0000-000001000000}" name="Timestamp"/>
    <tableColumn id="2" xr3:uid="{00000000-0010-0000-0000-000002000000}" name="How often do you go running?"/>
    <tableColumn id="3" xr3:uid="{00000000-0010-0000-0000-000003000000}" name="Where do you usually run?"/>
    <tableColumn id="4" xr3:uid="{00000000-0010-0000-0000-000004000000}" name="Do you track your running performance?"/>
    <tableColumn id="5" xr3:uid="{00000000-0010-0000-0000-000005000000}" name="Are you measuring your breathing rate (via chest strap, smart shirt, etc.)?"/>
    <tableColumn id="6" xr3:uid="{00000000-0010-0000-0000-000006000000}" name="Would you be willing to pay to get an accurate breathing rate measurement during running if you have to wear headphones?"/>
    <tableColumn id="7" xr3:uid="{00000000-0010-0000-0000-000007000000}" name="Would you be willing to pay for receiving additional information derived from your breathing rate (e.g. aerobic threshold, training load, recovery time, personalized training advice)?"/>
    <tableColumn id="8" xr3:uid="{00000000-0010-0000-0000-000008000000}" name="If you answered Yes in one or both of the previous question, which payment method would you prefer?"/>
    <tableColumn id="9" xr3:uid="{00000000-0010-0000-0000-000009000000}" name="What brand / model are your headphones?"/>
    <tableColumn id="10" xr3:uid="{00000000-0010-0000-0000-00000A000000}" name="Do you have any additional comments?"/>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8AC6F8-D48F-4333-803C-A9A56B4E29AF}" name="Form_Responses13" displayName="Form_Responses13" ref="A1:J49">
  <autoFilter ref="A1:J49" xr:uid="{00000000-0009-0000-0100-000001000000}"/>
  <tableColumns count="10">
    <tableColumn id="1" xr3:uid="{B9BF408F-7C95-43AD-829A-E585BA86912B}" name="Timestamp"/>
    <tableColumn id="2" xr3:uid="{2DE024B4-F80E-45EF-88DB-207DD050828F}" name="How often do you go running?"/>
    <tableColumn id="3" xr3:uid="{DF7A8AB4-F399-4067-ACD9-75DC222FE474}" name="Where do you usually run?"/>
    <tableColumn id="4" xr3:uid="{951ECAFF-B4DE-4842-8826-EBB37DB0BCCC}" name="Do you track your running performance?"/>
    <tableColumn id="5" xr3:uid="{3BF5B574-B876-4E5C-B224-45897BA6AB60}" name="Are you measuring your breathing rate (via chest strap, smart shirt, etc.)?"/>
    <tableColumn id="6" xr3:uid="{BE962715-22C0-4E67-A756-A0C700B596CD}" name="Would you be willing to pay to get an accurate breathing rate measurement during running if you have to wear headphones?"/>
    <tableColumn id="7" xr3:uid="{F540EB1B-36BA-45D6-88EA-73C088916B15}" name="Would you be willing to pay for receiving additional information derived from your breathing rate (e.g. aerobic threshold, training load, recovery time, personalized training advice)?"/>
    <tableColumn id="8" xr3:uid="{B4D7C90B-D9A2-46A2-9A88-04AC89852EF3}" name="If you answered Yes in one or both of the previous question, which payment method would you prefer?"/>
    <tableColumn id="9" xr3:uid="{F9A981B7-9810-43D7-BC31-8C8DFD4885EC}" name="What brand / model are your headphones?"/>
    <tableColumn id="10" xr3:uid="{AFCF34D8-68B0-4631-AC55-79D89626615F}" name="Do you have any additional comment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9"/>
  <sheetViews>
    <sheetView workbookViewId="0">
      <pane ySplit="1" topLeftCell="A2" activePane="bottomLeft" state="frozen"/>
      <selection pane="bottomLeft" sqref="A1:A1048576"/>
    </sheetView>
  </sheetViews>
  <sheetFormatPr defaultColWidth="12.5703125" defaultRowHeight="15.75" customHeight="1" x14ac:dyDescent="0.2"/>
  <cols>
    <col min="1" max="1" width="18.85546875" customWidth="1"/>
    <col min="2" max="2" width="27" customWidth="1"/>
    <col min="3" max="3" width="24.28515625" customWidth="1"/>
    <col min="4" max="8" width="37.5703125" customWidth="1"/>
    <col min="9" max="9" width="34.140625" customWidth="1"/>
    <col min="10" max="10" width="33.5703125" customWidth="1"/>
    <col min="11" max="16" width="18.85546875" customWidth="1"/>
  </cols>
  <sheetData>
    <row r="1" spans="1:10" x14ac:dyDescent="0.2">
      <c r="A1" s="1" t="s">
        <v>0</v>
      </c>
      <c r="B1" s="2" t="s">
        <v>1</v>
      </c>
      <c r="C1" s="2" t="s">
        <v>2</v>
      </c>
      <c r="D1" s="2" t="s">
        <v>3</v>
      </c>
      <c r="E1" s="2" t="s">
        <v>4</v>
      </c>
      <c r="F1" s="2" t="s">
        <v>5</v>
      </c>
      <c r="G1" s="2" t="s">
        <v>6</v>
      </c>
      <c r="H1" s="2" t="s">
        <v>7</v>
      </c>
      <c r="I1" s="2" t="s">
        <v>8</v>
      </c>
      <c r="J1" s="3" t="s">
        <v>9</v>
      </c>
    </row>
    <row r="2" spans="1:10" x14ac:dyDescent="0.2">
      <c r="A2" s="4">
        <v>45678.744763518524</v>
      </c>
      <c r="B2" s="5" t="s">
        <v>10</v>
      </c>
      <c r="C2" s="5" t="s">
        <v>11</v>
      </c>
      <c r="D2" s="5" t="s">
        <v>12</v>
      </c>
      <c r="E2" s="5" t="s">
        <v>13</v>
      </c>
      <c r="F2" s="5" t="s">
        <v>14</v>
      </c>
      <c r="G2" s="5" t="s">
        <v>14</v>
      </c>
      <c r="H2" s="5" t="s">
        <v>15</v>
      </c>
      <c r="I2" s="5" t="s">
        <v>16</v>
      </c>
      <c r="J2" s="6"/>
    </row>
    <row r="3" spans="1:10" x14ac:dyDescent="0.2">
      <c r="A3" s="7">
        <v>45678.757681898147</v>
      </c>
      <c r="B3" s="8" t="s">
        <v>17</v>
      </c>
      <c r="C3" s="8" t="s">
        <v>11</v>
      </c>
      <c r="D3" s="8" t="s">
        <v>12</v>
      </c>
      <c r="E3" s="8" t="s">
        <v>18</v>
      </c>
      <c r="F3" s="8" t="s">
        <v>19</v>
      </c>
      <c r="G3" s="8" t="s">
        <v>14</v>
      </c>
      <c r="H3" s="8" t="s">
        <v>15</v>
      </c>
      <c r="I3" s="8" t="s">
        <v>20</v>
      </c>
      <c r="J3" s="9"/>
    </row>
    <row r="4" spans="1:10" x14ac:dyDescent="0.2">
      <c r="A4" s="4">
        <v>45678.786606493057</v>
      </c>
      <c r="B4" s="5" t="s">
        <v>17</v>
      </c>
      <c r="C4" s="5" t="s">
        <v>21</v>
      </c>
      <c r="D4" s="5" t="s">
        <v>22</v>
      </c>
      <c r="E4" s="5" t="s">
        <v>13</v>
      </c>
      <c r="F4" s="5" t="s">
        <v>14</v>
      </c>
      <c r="G4" s="5" t="s">
        <v>14</v>
      </c>
      <c r="H4" s="5" t="s">
        <v>23</v>
      </c>
      <c r="I4" s="5" t="s">
        <v>24</v>
      </c>
      <c r="J4" s="6" t="s">
        <v>13</v>
      </c>
    </row>
    <row r="5" spans="1:10" x14ac:dyDescent="0.2">
      <c r="A5" s="7">
        <v>45678.801338495367</v>
      </c>
      <c r="B5" s="8" t="s">
        <v>10</v>
      </c>
      <c r="C5" s="8" t="s">
        <v>11</v>
      </c>
      <c r="D5" s="8" t="s">
        <v>22</v>
      </c>
      <c r="E5" s="8" t="s">
        <v>13</v>
      </c>
      <c r="F5" s="8" t="s">
        <v>14</v>
      </c>
      <c r="G5" s="8" t="s">
        <v>14</v>
      </c>
      <c r="H5" s="8" t="s">
        <v>15</v>
      </c>
      <c r="I5" s="8" t="s">
        <v>25</v>
      </c>
      <c r="J5" s="9"/>
    </row>
    <row r="6" spans="1:10" x14ac:dyDescent="0.2">
      <c r="A6" s="4">
        <v>45678.890740416668</v>
      </c>
      <c r="B6" s="5" t="s">
        <v>17</v>
      </c>
      <c r="C6" s="5" t="s">
        <v>11</v>
      </c>
      <c r="D6" s="5" t="s">
        <v>22</v>
      </c>
      <c r="E6" s="5" t="s">
        <v>13</v>
      </c>
      <c r="F6" s="5" t="s">
        <v>19</v>
      </c>
      <c r="G6" s="5" t="s">
        <v>26</v>
      </c>
      <c r="H6" s="5" t="s">
        <v>23</v>
      </c>
      <c r="I6" s="5" t="s">
        <v>27</v>
      </c>
      <c r="J6" s="6" t="s">
        <v>28</v>
      </c>
    </row>
    <row r="7" spans="1:10" x14ac:dyDescent="0.2">
      <c r="A7" s="7">
        <v>45678.913685497682</v>
      </c>
      <c r="B7" s="8" t="s">
        <v>17</v>
      </c>
      <c r="C7" s="8" t="s">
        <v>11</v>
      </c>
      <c r="D7" s="8" t="s">
        <v>12</v>
      </c>
      <c r="E7" s="8" t="s">
        <v>13</v>
      </c>
      <c r="F7" s="8" t="s">
        <v>14</v>
      </c>
      <c r="G7" s="8" t="s">
        <v>26</v>
      </c>
      <c r="H7" s="8" t="s">
        <v>15</v>
      </c>
      <c r="I7" s="8" t="s">
        <v>29</v>
      </c>
    </row>
    <row r="8" spans="1:10" x14ac:dyDescent="0.2">
      <c r="A8" s="4">
        <v>45679.445971782407</v>
      </c>
      <c r="B8" s="5" t="s">
        <v>10</v>
      </c>
      <c r="C8" s="5" t="s">
        <v>21</v>
      </c>
      <c r="D8" s="5" t="s">
        <v>12</v>
      </c>
      <c r="E8" s="5" t="s">
        <v>13</v>
      </c>
      <c r="F8" s="5" t="s">
        <v>30</v>
      </c>
      <c r="G8" s="5" t="s">
        <v>13</v>
      </c>
      <c r="H8" s="5" t="s">
        <v>15</v>
      </c>
    </row>
    <row r="9" spans="1:10" x14ac:dyDescent="0.2">
      <c r="A9" s="7">
        <v>45679.619907847227</v>
      </c>
      <c r="B9" s="8" t="s">
        <v>10</v>
      </c>
      <c r="C9" s="8" t="s">
        <v>11</v>
      </c>
      <c r="D9" s="8" t="s">
        <v>12</v>
      </c>
      <c r="E9" s="8" t="s">
        <v>31</v>
      </c>
      <c r="F9" s="8" t="s">
        <v>14</v>
      </c>
      <c r="G9" s="8" t="s">
        <v>26</v>
      </c>
      <c r="H9" s="8" t="s">
        <v>15</v>
      </c>
      <c r="I9" s="8" t="s">
        <v>29</v>
      </c>
    </row>
    <row r="10" spans="1:10" x14ac:dyDescent="0.2">
      <c r="A10" s="4">
        <v>45679.714285671296</v>
      </c>
      <c r="B10" s="5" t="s">
        <v>10</v>
      </c>
      <c r="C10" s="5" t="s">
        <v>32</v>
      </c>
      <c r="D10" s="5" t="s">
        <v>22</v>
      </c>
      <c r="E10" s="5" t="s">
        <v>13</v>
      </c>
      <c r="F10" s="5" t="s">
        <v>14</v>
      </c>
      <c r="G10" s="5" t="s">
        <v>13</v>
      </c>
      <c r="H10" s="5" t="s">
        <v>15</v>
      </c>
      <c r="I10" s="5" t="s">
        <v>33</v>
      </c>
    </row>
    <row r="11" spans="1:10" x14ac:dyDescent="0.2">
      <c r="A11" s="7">
        <v>45679.716964618055</v>
      </c>
      <c r="B11" s="8" t="s">
        <v>10</v>
      </c>
      <c r="C11" s="8" t="s">
        <v>11</v>
      </c>
      <c r="D11" s="8" t="s">
        <v>22</v>
      </c>
      <c r="E11" s="8" t="s">
        <v>34</v>
      </c>
      <c r="F11" s="8" t="s">
        <v>26</v>
      </c>
      <c r="G11" s="8" t="s">
        <v>13</v>
      </c>
      <c r="H11" s="8" t="s">
        <v>15</v>
      </c>
      <c r="I11" s="8" t="s">
        <v>35</v>
      </c>
    </row>
    <row r="12" spans="1:10" x14ac:dyDescent="0.2">
      <c r="A12" s="4">
        <v>45679.719247673609</v>
      </c>
      <c r="B12" s="5" t="s">
        <v>17</v>
      </c>
      <c r="C12" s="5" t="s">
        <v>11</v>
      </c>
      <c r="D12" s="5" t="s">
        <v>22</v>
      </c>
      <c r="E12" s="5" t="s">
        <v>13</v>
      </c>
      <c r="F12" s="5" t="s">
        <v>14</v>
      </c>
      <c r="G12" s="5" t="s">
        <v>14</v>
      </c>
      <c r="H12" s="5" t="s">
        <v>15</v>
      </c>
      <c r="I12" s="5" t="s">
        <v>36</v>
      </c>
      <c r="J12" s="6" t="s">
        <v>37</v>
      </c>
    </row>
    <row r="13" spans="1:10" x14ac:dyDescent="0.2">
      <c r="A13" s="7">
        <v>45679.719647916667</v>
      </c>
      <c r="B13" s="8" t="s">
        <v>17</v>
      </c>
      <c r="C13" s="8" t="s">
        <v>11</v>
      </c>
      <c r="D13" s="8" t="s">
        <v>12</v>
      </c>
      <c r="E13" s="8" t="s">
        <v>31</v>
      </c>
      <c r="F13" s="8" t="s">
        <v>30</v>
      </c>
      <c r="G13" s="8" t="s">
        <v>14</v>
      </c>
      <c r="H13" s="8" t="s">
        <v>15</v>
      </c>
      <c r="I13" s="8" t="s">
        <v>33</v>
      </c>
    </row>
    <row r="14" spans="1:10" x14ac:dyDescent="0.2">
      <c r="A14" s="4">
        <v>45679.73025390046</v>
      </c>
      <c r="B14" s="5" t="s">
        <v>17</v>
      </c>
      <c r="C14" s="5" t="s">
        <v>11</v>
      </c>
      <c r="D14" s="5" t="s">
        <v>22</v>
      </c>
      <c r="E14" s="5" t="s">
        <v>13</v>
      </c>
      <c r="F14" s="5" t="s">
        <v>38</v>
      </c>
      <c r="G14" s="5" t="s">
        <v>38</v>
      </c>
      <c r="H14" s="5" t="s">
        <v>23</v>
      </c>
      <c r="I14" s="5" t="s">
        <v>39</v>
      </c>
    </row>
    <row r="15" spans="1:10" x14ac:dyDescent="0.2">
      <c r="A15" s="7">
        <v>45679.734568912041</v>
      </c>
      <c r="B15" s="8" t="s">
        <v>40</v>
      </c>
      <c r="C15" s="8" t="s">
        <v>11</v>
      </c>
      <c r="D15" s="8" t="s">
        <v>22</v>
      </c>
      <c r="E15" s="8" t="s">
        <v>13</v>
      </c>
      <c r="F15" s="8" t="s">
        <v>19</v>
      </c>
      <c r="G15" s="8" t="s">
        <v>41</v>
      </c>
      <c r="H15" s="8" t="s">
        <v>15</v>
      </c>
      <c r="I15" s="8" t="s">
        <v>33</v>
      </c>
    </row>
    <row r="16" spans="1:10" x14ac:dyDescent="0.2">
      <c r="A16" s="4">
        <v>45679.736209456023</v>
      </c>
      <c r="B16" s="5" t="s">
        <v>10</v>
      </c>
      <c r="C16" s="5" t="s">
        <v>11</v>
      </c>
      <c r="D16" s="5" t="s">
        <v>12</v>
      </c>
      <c r="E16" s="5" t="s">
        <v>34</v>
      </c>
      <c r="F16" s="5" t="s">
        <v>38</v>
      </c>
      <c r="G16" s="5" t="s">
        <v>38</v>
      </c>
      <c r="H16" s="5" t="s">
        <v>15</v>
      </c>
      <c r="I16" s="5" t="s">
        <v>42</v>
      </c>
    </row>
    <row r="17" spans="1:10" x14ac:dyDescent="0.2">
      <c r="A17" s="7">
        <v>45679.745117592596</v>
      </c>
      <c r="B17" s="8" t="s">
        <v>10</v>
      </c>
      <c r="C17" s="8" t="s">
        <v>11</v>
      </c>
      <c r="D17" s="8" t="s">
        <v>12</v>
      </c>
      <c r="E17" s="8" t="s">
        <v>13</v>
      </c>
      <c r="F17" s="8" t="s">
        <v>41</v>
      </c>
      <c r="G17" s="8" t="s">
        <v>41</v>
      </c>
      <c r="H17" s="8" t="s">
        <v>23</v>
      </c>
      <c r="I17" s="8" t="s">
        <v>43</v>
      </c>
    </row>
    <row r="18" spans="1:10" x14ac:dyDescent="0.2">
      <c r="A18" s="4">
        <v>45679.789959467591</v>
      </c>
      <c r="B18" s="5" t="s">
        <v>40</v>
      </c>
      <c r="C18" s="5" t="s">
        <v>11</v>
      </c>
      <c r="D18" s="5" t="s">
        <v>22</v>
      </c>
      <c r="E18" s="5" t="s">
        <v>13</v>
      </c>
      <c r="F18" s="5" t="s">
        <v>19</v>
      </c>
      <c r="G18" s="5" t="s">
        <v>13</v>
      </c>
      <c r="H18" s="5" t="s">
        <v>23</v>
      </c>
      <c r="I18" s="5" t="s">
        <v>33</v>
      </c>
    </row>
    <row r="19" spans="1:10" x14ac:dyDescent="0.2">
      <c r="A19" s="7">
        <v>45679.856360057871</v>
      </c>
      <c r="B19" s="8" t="s">
        <v>10</v>
      </c>
      <c r="C19" s="8" t="s">
        <v>44</v>
      </c>
      <c r="D19" s="8" t="s">
        <v>12</v>
      </c>
      <c r="E19" s="8" t="s">
        <v>13</v>
      </c>
      <c r="F19" s="8" t="s">
        <v>19</v>
      </c>
      <c r="G19" s="8" t="s">
        <v>13</v>
      </c>
    </row>
    <row r="20" spans="1:10" x14ac:dyDescent="0.2">
      <c r="A20" s="4">
        <v>45679.86601017361</v>
      </c>
      <c r="B20" s="5" t="s">
        <v>40</v>
      </c>
      <c r="C20" s="5" t="s">
        <v>45</v>
      </c>
      <c r="D20" s="5" t="s">
        <v>22</v>
      </c>
      <c r="E20" s="5" t="s">
        <v>13</v>
      </c>
      <c r="F20" s="5" t="s">
        <v>19</v>
      </c>
      <c r="G20" s="5" t="s">
        <v>13</v>
      </c>
      <c r="I20" s="5" t="s">
        <v>46</v>
      </c>
      <c r="J20" s="6" t="s">
        <v>47</v>
      </c>
    </row>
    <row r="21" spans="1:10" x14ac:dyDescent="0.2">
      <c r="A21" s="7">
        <v>45679.880623263889</v>
      </c>
      <c r="B21" s="8" t="s">
        <v>17</v>
      </c>
      <c r="C21" s="8" t="s">
        <v>11</v>
      </c>
      <c r="D21" s="8" t="s">
        <v>12</v>
      </c>
      <c r="E21" s="8" t="s">
        <v>18</v>
      </c>
      <c r="F21" s="8" t="s">
        <v>38</v>
      </c>
      <c r="G21" s="8" t="s">
        <v>38</v>
      </c>
      <c r="H21" s="8" t="s">
        <v>15</v>
      </c>
      <c r="I21" s="8" t="s">
        <v>48</v>
      </c>
    </row>
    <row r="22" spans="1:10" x14ac:dyDescent="0.2">
      <c r="A22" s="4">
        <v>45679.892367361113</v>
      </c>
      <c r="B22" s="5" t="s">
        <v>17</v>
      </c>
      <c r="C22" s="5" t="s">
        <v>11</v>
      </c>
      <c r="D22" s="5" t="s">
        <v>22</v>
      </c>
      <c r="E22" s="5" t="s">
        <v>13</v>
      </c>
      <c r="F22" s="5" t="s">
        <v>19</v>
      </c>
      <c r="G22" s="5" t="s">
        <v>38</v>
      </c>
      <c r="H22" s="5" t="s">
        <v>23</v>
      </c>
      <c r="I22" s="5" t="s">
        <v>33</v>
      </c>
    </row>
    <row r="23" spans="1:10" x14ac:dyDescent="0.2">
      <c r="A23" s="7">
        <v>45679.976412569449</v>
      </c>
      <c r="B23" s="8" t="s">
        <v>17</v>
      </c>
      <c r="C23" s="8" t="s">
        <v>11</v>
      </c>
      <c r="D23" s="8" t="s">
        <v>22</v>
      </c>
      <c r="E23" s="8" t="s">
        <v>13</v>
      </c>
      <c r="F23" s="8" t="s">
        <v>49</v>
      </c>
      <c r="G23" s="8" t="s">
        <v>13</v>
      </c>
      <c r="I23" s="8" t="s">
        <v>50</v>
      </c>
    </row>
    <row r="24" spans="1:10" x14ac:dyDescent="0.2">
      <c r="A24" s="4">
        <v>45680.007864884261</v>
      </c>
      <c r="B24" s="5" t="s">
        <v>40</v>
      </c>
      <c r="C24" s="5" t="s">
        <v>11</v>
      </c>
      <c r="D24" s="5" t="s">
        <v>13</v>
      </c>
      <c r="E24" s="5" t="s">
        <v>13</v>
      </c>
      <c r="F24" s="5" t="s">
        <v>19</v>
      </c>
      <c r="G24" s="5" t="s">
        <v>13</v>
      </c>
      <c r="I24" s="5" t="s">
        <v>33</v>
      </c>
    </row>
    <row r="25" spans="1:10" x14ac:dyDescent="0.2">
      <c r="A25" s="7">
        <v>45680.320305914356</v>
      </c>
      <c r="B25" s="8" t="s">
        <v>17</v>
      </c>
      <c r="C25" s="8" t="s">
        <v>21</v>
      </c>
      <c r="D25" s="8" t="s">
        <v>22</v>
      </c>
      <c r="E25" s="8" t="s">
        <v>13</v>
      </c>
      <c r="F25" s="8" t="s">
        <v>49</v>
      </c>
      <c r="G25" s="8" t="s">
        <v>13</v>
      </c>
      <c r="I25" s="8" t="s">
        <v>16</v>
      </c>
    </row>
    <row r="26" spans="1:10" x14ac:dyDescent="0.2">
      <c r="A26" s="4">
        <v>45680.335879270831</v>
      </c>
      <c r="B26" s="5" t="s">
        <v>40</v>
      </c>
      <c r="C26" s="5" t="s">
        <v>11</v>
      </c>
      <c r="D26" s="5" t="s">
        <v>22</v>
      </c>
      <c r="E26" s="5" t="s">
        <v>18</v>
      </c>
      <c r="F26" s="5" t="s">
        <v>41</v>
      </c>
      <c r="G26" s="5" t="s">
        <v>41</v>
      </c>
      <c r="H26" s="5" t="s">
        <v>15</v>
      </c>
      <c r="I26" s="5" t="s">
        <v>51</v>
      </c>
    </row>
    <row r="27" spans="1:10" x14ac:dyDescent="0.2">
      <c r="A27" s="7">
        <v>45680.356543807866</v>
      </c>
      <c r="B27" s="8" t="s">
        <v>40</v>
      </c>
      <c r="C27" s="8" t="s">
        <v>11</v>
      </c>
      <c r="D27" s="8" t="s">
        <v>12</v>
      </c>
      <c r="E27" s="8" t="s">
        <v>13</v>
      </c>
      <c r="F27" s="8" t="s">
        <v>38</v>
      </c>
      <c r="G27" s="8" t="s">
        <v>38</v>
      </c>
      <c r="H27" s="8" t="s">
        <v>23</v>
      </c>
      <c r="I27" s="8" t="s">
        <v>52</v>
      </c>
    </row>
    <row r="28" spans="1:10" x14ac:dyDescent="0.2">
      <c r="A28" s="4">
        <v>45680.367232106481</v>
      </c>
      <c r="B28" s="5" t="s">
        <v>10</v>
      </c>
      <c r="C28" s="5" t="s">
        <v>11</v>
      </c>
      <c r="D28" s="5" t="s">
        <v>12</v>
      </c>
      <c r="E28" s="5" t="s">
        <v>34</v>
      </c>
      <c r="F28" s="5" t="s">
        <v>19</v>
      </c>
      <c r="G28" s="5" t="s">
        <v>38</v>
      </c>
      <c r="H28" s="5" t="s">
        <v>15</v>
      </c>
      <c r="I28" s="5" t="s">
        <v>33</v>
      </c>
      <c r="J28" s="6" t="s">
        <v>53</v>
      </c>
    </row>
    <row r="29" spans="1:10" x14ac:dyDescent="0.2">
      <c r="A29" s="7">
        <v>45680.406850486106</v>
      </c>
      <c r="B29" s="8" t="s">
        <v>54</v>
      </c>
      <c r="C29" s="8" t="s">
        <v>11</v>
      </c>
      <c r="D29" s="8" t="s">
        <v>22</v>
      </c>
      <c r="E29" s="8" t="s">
        <v>13</v>
      </c>
      <c r="F29" s="8" t="s">
        <v>49</v>
      </c>
      <c r="G29" s="8" t="s">
        <v>38</v>
      </c>
      <c r="H29" s="8" t="s">
        <v>23</v>
      </c>
      <c r="I29" s="8" t="s">
        <v>55</v>
      </c>
    </row>
    <row r="30" spans="1:10" x14ac:dyDescent="0.2">
      <c r="A30" s="4">
        <v>45680.431812222218</v>
      </c>
      <c r="B30" s="5" t="s">
        <v>17</v>
      </c>
      <c r="C30" s="5" t="s">
        <v>11</v>
      </c>
      <c r="D30" s="5" t="s">
        <v>22</v>
      </c>
      <c r="E30" s="5" t="s">
        <v>13</v>
      </c>
      <c r="F30" s="5" t="s">
        <v>38</v>
      </c>
      <c r="G30" s="5" t="s">
        <v>38</v>
      </c>
      <c r="H30" s="5" t="s">
        <v>15</v>
      </c>
      <c r="I30" s="5" t="s">
        <v>56</v>
      </c>
      <c r="J30" s="6" t="s">
        <v>57</v>
      </c>
    </row>
    <row r="31" spans="1:10" x14ac:dyDescent="0.2">
      <c r="A31" s="7">
        <v>45680.441968368061</v>
      </c>
      <c r="B31" s="8" t="s">
        <v>17</v>
      </c>
      <c r="C31" s="8" t="s">
        <v>11</v>
      </c>
      <c r="D31" s="8" t="s">
        <v>22</v>
      </c>
      <c r="E31" s="8" t="s">
        <v>13</v>
      </c>
      <c r="F31" s="8" t="s">
        <v>38</v>
      </c>
      <c r="G31" s="8" t="s">
        <v>38</v>
      </c>
      <c r="H31" s="8" t="s">
        <v>15</v>
      </c>
      <c r="I31" s="8" t="s">
        <v>58</v>
      </c>
    </row>
    <row r="32" spans="1:10" x14ac:dyDescent="0.2">
      <c r="A32" s="4">
        <v>45680.48148751157</v>
      </c>
      <c r="B32" s="5" t="s">
        <v>17</v>
      </c>
      <c r="C32" s="5" t="s">
        <v>11</v>
      </c>
      <c r="D32" s="5" t="s">
        <v>12</v>
      </c>
      <c r="E32" s="5" t="s">
        <v>13</v>
      </c>
      <c r="F32" s="5" t="s">
        <v>38</v>
      </c>
      <c r="G32" s="5" t="s">
        <v>38</v>
      </c>
      <c r="H32" s="5" t="s">
        <v>23</v>
      </c>
      <c r="I32" s="5" t="s">
        <v>59</v>
      </c>
    </row>
    <row r="33" spans="1:10" x14ac:dyDescent="0.2">
      <c r="A33" s="7">
        <v>45680.565484942126</v>
      </c>
      <c r="B33" s="8" t="s">
        <v>54</v>
      </c>
      <c r="C33" s="8" t="s">
        <v>11</v>
      </c>
      <c r="D33" s="8" t="s">
        <v>22</v>
      </c>
      <c r="E33" s="8" t="s">
        <v>31</v>
      </c>
      <c r="F33" s="8" t="s">
        <v>38</v>
      </c>
      <c r="G33" s="8" t="s">
        <v>38</v>
      </c>
      <c r="H33" s="8" t="s">
        <v>23</v>
      </c>
      <c r="I33" s="8" t="s">
        <v>33</v>
      </c>
    </row>
    <row r="34" spans="1:10" x14ac:dyDescent="0.2">
      <c r="A34" s="4">
        <v>45680.618683113426</v>
      </c>
      <c r="B34" s="5" t="s">
        <v>54</v>
      </c>
      <c r="C34" s="5" t="s">
        <v>60</v>
      </c>
      <c r="D34" s="5" t="s">
        <v>12</v>
      </c>
      <c r="E34" s="5" t="s">
        <v>34</v>
      </c>
      <c r="F34" s="5" t="s">
        <v>49</v>
      </c>
      <c r="G34" s="5" t="s">
        <v>13</v>
      </c>
      <c r="I34" s="5" t="s">
        <v>61</v>
      </c>
      <c r="J34" s="6" t="s">
        <v>62</v>
      </c>
    </row>
    <row r="35" spans="1:10" x14ac:dyDescent="0.2">
      <c r="A35" s="7">
        <v>45680.830201423611</v>
      </c>
      <c r="B35" s="8" t="s">
        <v>17</v>
      </c>
      <c r="C35" s="8" t="s">
        <v>11</v>
      </c>
      <c r="D35" s="8" t="s">
        <v>22</v>
      </c>
      <c r="E35" s="8" t="s">
        <v>13</v>
      </c>
      <c r="F35" s="8" t="s">
        <v>19</v>
      </c>
      <c r="G35" s="8" t="s">
        <v>41</v>
      </c>
      <c r="H35" s="8" t="s">
        <v>23</v>
      </c>
      <c r="I35" s="8" t="s">
        <v>33</v>
      </c>
      <c r="J35" s="9" t="s">
        <v>63</v>
      </c>
    </row>
    <row r="36" spans="1:10" x14ac:dyDescent="0.2">
      <c r="A36" s="4">
        <v>45681.375439791664</v>
      </c>
      <c r="B36" s="5" t="s">
        <v>40</v>
      </c>
      <c r="C36" s="5" t="s">
        <v>21</v>
      </c>
      <c r="D36" s="5" t="s">
        <v>22</v>
      </c>
      <c r="E36" s="5" t="s">
        <v>13</v>
      </c>
      <c r="F36" s="5" t="s">
        <v>38</v>
      </c>
      <c r="G36" s="5" t="s">
        <v>38</v>
      </c>
      <c r="H36" s="5" t="s">
        <v>15</v>
      </c>
      <c r="I36" s="5" t="s">
        <v>64</v>
      </c>
    </row>
    <row r="37" spans="1:10" x14ac:dyDescent="0.2">
      <c r="A37" s="7">
        <v>45681.725939340278</v>
      </c>
      <c r="B37" s="8" t="s">
        <v>10</v>
      </c>
      <c r="C37" s="8" t="s">
        <v>11</v>
      </c>
      <c r="D37" s="8" t="s">
        <v>12</v>
      </c>
      <c r="E37" s="8" t="s">
        <v>13</v>
      </c>
      <c r="F37" s="8" t="s">
        <v>19</v>
      </c>
      <c r="G37" s="8" t="s">
        <v>41</v>
      </c>
      <c r="H37" s="8" t="s">
        <v>15</v>
      </c>
      <c r="I37" s="8" t="s">
        <v>65</v>
      </c>
    </row>
    <row r="38" spans="1:10" x14ac:dyDescent="0.2">
      <c r="A38" s="4">
        <v>45681.922197743057</v>
      </c>
      <c r="B38" s="5" t="s">
        <v>10</v>
      </c>
      <c r="C38" s="5" t="s">
        <v>11</v>
      </c>
      <c r="D38" s="5" t="s">
        <v>12</v>
      </c>
      <c r="E38" s="5" t="s">
        <v>31</v>
      </c>
      <c r="F38" s="5" t="s">
        <v>49</v>
      </c>
      <c r="G38" s="5" t="s">
        <v>13</v>
      </c>
    </row>
    <row r="39" spans="1:10" x14ac:dyDescent="0.2">
      <c r="A39" s="7">
        <v>45682.499760752311</v>
      </c>
      <c r="B39" s="8" t="s">
        <v>40</v>
      </c>
      <c r="C39" s="8" t="s">
        <v>11</v>
      </c>
      <c r="D39" s="8" t="s">
        <v>13</v>
      </c>
      <c r="E39" s="8" t="s">
        <v>13</v>
      </c>
      <c r="F39" s="8" t="s">
        <v>19</v>
      </c>
      <c r="G39" s="8" t="s">
        <v>13</v>
      </c>
      <c r="I39" s="8" t="s">
        <v>33</v>
      </c>
    </row>
    <row r="40" spans="1:10" x14ac:dyDescent="0.2">
      <c r="A40" s="4">
        <v>45683.328517453701</v>
      </c>
      <c r="B40" s="5" t="s">
        <v>40</v>
      </c>
      <c r="C40" s="5" t="s">
        <v>11</v>
      </c>
      <c r="D40" s="5" t="s">
        <v>12</v>
      </c>
      <c r="E40" s="5" t="s">
        <v>13</v>
      </c>
      <c r="F40" s="5" t="s">
        <v>38</v>
      </c>
      <c r="G40" s="5" t="s">
        <v>13</v>
      </c>
      <c r="I40" s="5" t="s">
        <v>66</v>
      </c>
    </row>
    <row r="41" spans="1:10" x14ac:dyDescent="0.2">
      <c r="A41" s="7">
        <v>45684.567461863422</v>
      </c>
      <c r="B41" s="8" t="s">
        <v>40</v>
      </c>
      <c r="C41" s="8" t="s">
        <v>11</v>
      </c>
      <c r="D41" s="8" t="s">
        <v>22</v>
      </c>
      <c r="E41" s="8" t="s">
        <v>13</v>
      </c>
      <c r="F41" s="8" t="s">
        <v>38</v>
      </c>
      <c r="G41" s="8" t="s">
        <v>38</v>
      </c>
      <c r="H41" s="8" t="s">
        <v>15</v>
      </c>
      <c r="I41" s="8" t="s">
        <v>67</v>
      </c>
    </row>
    <row r="42" spans="1:10" x14ac:dyDescent="0.2">
      <c r="A42" s="4">
        <v>45686.663391539347</v>
      </c>
      <c r="B42" s="5" t="s">
        <v>40</v>
      </c>
      <c r="C42" s="5" t="s">
        <v>11</v>
      </c>
      <c r="D42" s="5" t="s">
        <v>13</v>
      </c>
      <c r="E42" s="5" t="s">
        <v>13</v>
      </c>
      <c r="F42" s="5" t="s">
        <v>38</v>
      </c>
      <c r="G42" s="5" t="s">
        <v>38</v>
      </c>
      <c r="H42" s="5" t="s">
        <v>15</v>
      </c>
      <c r="I42" s="5" t="s">
        <v>68</v>
      </c>
    </row>
    <row r="43" spans="1:10" x14ac:dyDescent="0.2">
      <c r="A43" s="7">
        <v>45686.677430983793</v>
      </c>
      <c r="B43" s="8" t="s">
        <v>17</v>
      </c>
      <c r="C43" s="8" t="s">
        <v>11</v>
      </c>
      <c r="D43" s="8" t="s">
        <v>22</v>
      </c>
      <c r="E43" s="8" t="s">
        <v>13</v>
      </c>
      <c r="F43" s="8" t="s">
        <v>19</v>
      </c>
      <c r="G43" s="8" t="s">
        <v>13</v>
      </c>
      <c r="I43" s="8" t="s">
        <v>27</v>
      </c>
    </row>
    <row r="44" spans="1:10" x14ac:dyDescent="0.2">
      <c r="A44" s="4">
        <v>45686.707806087958</v>
      </c>
      <c r="B44" s="5" t="s">
        <v>40</v>
      </c>
      <c r="C44" s="5" t="s">
        <v>11</v>
      </c>
      <c r="D44" s="5" t="s">
        <v>12</v>
      </c>
      <c r="E44" s="5" t="s">
        <v>13</v>
      </c>
      <c r="F44" s="5" t="s">
        <v>19</v>
      </c>
      <c r="G44" s="5" t="s">
        <v>13</v>
      </c>
      <c r="I44" s="5" t="s">
        <v>66</v>
      </c>
    </row>
    <row r="45" spans="1:10" x14ac:dyDescent="0.2">
      <c r="A45" s="7">
        <v>45687.43021337963</v>
      </c>
      <c r="B45" s="8" t="s">
        <v>10</v>
      </c>
      <c r="C45" s="8" t="s">
        <v>21</v>
      </c>
      <c r="D45" s="8" t="s">
        <v>12</v>
      </c>
      <c r="E45" s="8" t="s">
        <v>13</v>
      </c>
      <c r="F45" s="8" t="s">
        <v>19</v>
      </c>
      <c r="G45" s="8" t="s">
        <v>38</v>
      </c>
      <c r="H45" s="8" t="s">
        <v>15</v>
      </c>
    </row>
    <row r="46" spans="1:10" x14ac:dyDescent="0.2">
      <c r="A46" s="4">
        <v>45692.384191446763</v>
      </c>
      <c r="B46" s="5" t="s">
        <v>40</v>
      </c>
      <c r="C46" s="5" t="s">
        <v>21</v>
      </c>
      <c r="D46" s="5" t="s">
        <v>12</v>
      </c>
      <c r="E46" s="5" t="s">
        <v>13</v>
      </c>
      <c r="F46" s="5" t="s">
        <v>19</v>
      </c>
      <c r="G46" s="5" t="s">
        <v>38</v>
      </c>
      <c r="H46" s="5" t="s">
        <v>15</v>
      </c>
      <c r="I46" s="5" t="s">
        <v>24</v>
      </c>
    </row>
    <row r="47" spans="1:10" x14ac:dyDescent="0.2">
      <c r="A47" s="7">
        <v>45695.495939976856</v>
      </c>
      <c r="B47" s="8" t="s">
        <v>10</v>
      </c>
      <c r="C47" s="8" t="s">
        <v>11</v>
      </c>
      <c r="D47" s="8" t="s">
        <v>12</v>
      </c>
      <c r="E47" s="8" t="s">
        <v>13</v>
      </c>
      <c r="F47" s="8" t="s">
        <v>38</v>
      </c>
      <c r="G47" s="8" t="s">
        <v>38</v>
      </c>
      <c r="H47" s="8" t="s">
        <v>23</v>
      </c>
      <c r="I47" s="8" t="s">
        <v>29</v>
      </c>
    </row>
    <row r="48" spans="1:10" x14ac:dyDescent="0.2">
      <c r="A48" s="4">
        <v>45699.86394210648</v>
      </c>
      <c r="B48" s="5" t="s">
        <v>40</v>
      </c>
      <c r="C48" s="5" t="s">
        <v>11</v>
      </c>
      <c r="D48" s="5" t="s">
        <v>12</v>
      </c>
      <c r="E48" s="5" t="s">
        <v>13</v>
      </c>
      <c r="F48" s="5" t="s">
        <v>38</v>
      </c>
      <c r="G48" s="5" t="s">
        <v>38</v>
      </c>
      <c r="H48" s="5" t="s">
        <v>15</v>
      </c>
      <c r="I48" s="5" t="s">
        <v>69</v>
      </c>
    </row>
    <row r="49" spans="1:9" x14ac:dyDescent="0.2">
      <c r="A49" s="10">
        <v>45738.551559270833</v>
      </c>
      <c r="B49" s="11" t="s">
        <v>54</v>
      </c>
      <c r="C49" s="11" t="s">
        <v>11</v>
      </c>
      <c r="D49" s="11" t="s">
        <v>22</v>
      </c>
      <c r="E49" s="11" t="s">
        <v>13</v>
      </c>
      <c r="F49" s="11" t="s">
        <v>19</v>
      </c>
      <c r="G49" s="11" t="s">
        <v>38</v>
      </c>
      <c r="H49" s="11" t="s">
        <v>15</v>
      </c>
      <c r="I49" s="11" t="s">
        <v>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7810-22FE-4CFF-8E8B-76CA3B658C24}">
  <dimension ref="A1"/>
  <sheetViews>
    <sheetView workbookViewId="0"/>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1C0B-3113-4313-B396-DB3D241F5F2E}">
  <sheetPr>
    <outlinePr summaryBelow="0" summaryRight="0"/>
  </sheetPr>
  <dimension ref="A1:J49"/>
  <sheetViews>
    <sheetView workbookViewId="0">
      <pane ySplit="1" topLeftCell="A2" activePane="bottomLeft" state="frozen"/>
      <selection pane="bottomLeft" sqref="A1:A1048576"/>
    </sheetView>
  </sheetViews>
  <sheetFormatPr defaultColWidth="12.5703125" defaultRowHeight="15.75" customHeight="1" x14ac:dyDescent="0.2"/>
  <cols>
    <col min="1" max="1" width="18.85546875" customWidth="1"/>
    <col min="2" max="2" width="27" customWidth="1"/>
    <col min="3" max="3" width="24.28515625" customWidth="1"/>
    <col min="4" max="8" width="37.5703125" customWidth="1"/>
    <col min="9" max="9" width="34.140625" customWidth="1"/>
    <col min="10" max="10" width="33.5703125" customWidth="1"/>
    <col min="11" max="16" width="18.85546875" customWidth="1"/>
  </cols>
  <sheetData>
    <row r="1" spans="1:10" x14ac:dyDescent="0.2">
      <c r="A1" s="1" t="s">
        <v>0</v>
      </c>
      <c r="B1" s="2" t="s">
        <v>1</v>
      </c>
      <c r="C1" s="2" t="s">
        <v>2</v>
      </c>
      <c r="D1" s="2" t="s">
        <v>3</v>
      </c>
      <c r="E1" s="2" t="s">
        <v>4</v>
      </c>
      <c r="F1" s="2" t="s">
        <v>5</v>
      </c>
      <c r="G1" s="2" t="s">
        <v>6</v>
      </c>
      <c r="H1" s="2" t="s">
        <v>7</v>
      </c>
      <c r="I1" s="2" t="s">
        <v>8</v>
      </c>
      <c r="J1" s="3" t="s">
        <v>9</v>
      </c>
    </row>
    <row r="2" spans="1:10" x14ac:dyDescent="0.2">
      <c r="A2" s="4">
        <v>45678.744763518524</v>
      </c>
      <c r="B2" s="5" t="s">
        <v>10</v>
      </c>
      <c r="C2" s="5" t="s">
        <v>11</v>
      </c>
      <c r="D2" s="5" t="s">
        <v>12</v>
      </c>
      <c r="E2" s="5" t="s">
        <v>13</v>
      </c>
      <c r="F2" s="5" t="s">
        <v>14</v>
      </c>
      <c r="G2" s="5" t="s">
        <v>14</v>
      </c>
      <c r="H2" s="5" t="s">
        <v>15</v>
      </c>
      <c r="I2" s="5" t="s">
        <v>16</v>
      </c>
      <c r="J2" s="6"/>
    </row>
    <row r="3" spans="1:10" x14ac:dyDescent="0.2">
      <c r="A3" s="7">
        <v>45678.757681898147</v>
      </c>
      <c r="B3" s="8" t="s">
        <v>17</v>
      </c>
      <c r="C3" s="8" t="s">
        <v>11</v>
      </c>
      <c r="D3" s="8" t="s">
        <v>12</v>
      </c>
      <c r="E3" s="8" t="s">
        <v>18</v>
      </c>
      <c r="F3" s="8" t="s">
        <v>19</v>
      </c>
      <c r="G3" s="8" t="s">
        <v>14</v>
      </c>
      <c r="H3" s="8" t="s">
        <v>15</v>
      </c>
      <c r="I3" s="8" t="s">
        <v>20</v>
      </c>
      <c r="J3" s="9"/>
    </row>
    <row r="4" spans="1:10" x14ac:dyDescent="0.2">
      <c r="A4" s="4">
        <v>45678.786606493057</v>
      </c>
      <c r="B4" s="5" t="s">
        <v>17</v>
      </c>
      <c r="C4" s="5" t="s">
        <v>21</v>
      </c>
      <c r="D4" s="5" t="s">
        <v>22</v>
      </c>
      <c r="E4" s="5" t="s">
        <v>13</v>
      </c>
      <c r="F4" s="5" t="s">
        <v>14</v>
      </c>
      <c r="G4" s="5" t="s">
        <v>14</v>
      </c>
      <c r="H4" s="5" t="s">
        <v>23</v>
      </c>
      <c r="I4" s="5" t="s">
        <v>24</v>
      </c>
      <c r="J4" s="6" t="s">
        <v>13</v>
      </c>
    </row>
    <row r="5" spans="1:10" x14ac:dyDescent="0.2">
      <c r="A5" s="7">
        <v>45678.801338495367</v>
      </c>
      <c r="B5" s="8" t="s">
        <v>10</v>
      </c>
      <c r="C5" s="8" t="s">
        <v>11</v>
      </c>
      <c r="D5" s="8" t="s">
        <v>22</v>
      </c>
      <c r="E5" s="8" t="s">
        <v>13</v>
      </c>
      <c r="F5" s="8" t="s">
        <v>14</v>
      </c>
      <c r="G5" s="8" t="s">
        <v>14</v>
      </c>
      <c r="H5" s="8" t="s">
        <v>15</v>
      </c>
      <c r="I5" s="8" t="s">
        <v>25</v>
      </c>
      <c r="J5" s="9"/>
    </row>
    <row r="6" spans="1:10" x14ac:dyDescent="0.2">
      <c r="A6" s="4">
        <v>45678.890740416668</v>
      </c>
      <c r="B6" s="5" t="s">
        <v>17</v>
      </c>
      <c r="C6" s="5" t="s">
        <v>11</v>
      </c>
      <c r="D6" s="5" t="s">
        <v>22</v>
      </c>
      <c r="E6" s="5" t="s">
        <v>13</v>
      </c>
      <c r="F6" s="5" t="s">
        <v>19</v>
      </c>
      <c r="G6" s="5" t="s">
        <v>26</v>
      </c>
      <c r="H6" s="5" t="s">
        <v>23</v>
      </c>
      <c r="I6" s="5" t="s">
        <v>27</v>
      </c>
      <c r="J6" s="6" t="s">
        <v>28</v>
      </c>
    </row>
    <row r="7" spans="1:10" x14ac:dyDescent="0.2">
      <c r="A7" s="7">
        <v>45678.913685497682</v>
      </c>
      <c r="B7" s="8" t="s">
        <v>17</v>
      </c>
      <c r="C7" s="8" t="s">
        <v>11</v>
      </c>
      <c r="D7" s="8" t="s">
        <v>12</v>
      </c>
      <c r="E7" s="8" t="s">
        <v>13</v>
      </c>
      <c r="F7" s="8" t="s">
        <v>14</v>
      </c>
      <c r="G7" s="8" t="s">
        <v>26</v>
      </c>
      <c r="H7" s="8" t="s">
        <v>15</v>
      </c>
      <c r="I7" s="8" t="s">
        <v>29</v>
      </c>
    </row>
    <row r="8" spans="1:10" x14ac:dyDescent="0.2">
      <c r="A8" s="4">
        <v>45679.445971782407</v>
      </c>
      <c r="B8" s="5" t="s">
        <v>10</v>
      </c>
      <c r="C8" s="5" t="s">
        <v>21</v>
      </c>
      <c r="D8" s="5" t="s">
        <v>12</v>
      </c>
      <c r="E8" s="5" t="s">
        <v>13</v>
      </c>
      <c r="F8" s="5" t="s">
        <v>30</v>
      </c>
      <c r="G8" s="5" t="s">
        <v>13</v>
      </c>
      <c r="H8" s="5" t="s">
        <v>15</v>
      </c>
    </row>
    <row r="9" spans="1:10" x14ac:dyDescent="0.2">
      <c r="A9" s="7">
        <v>45679.619907847227</v>
      </c>
      <c r="B9" s="8" t="s">
        <v>10</v>
      </c>
      <c r="C9" s="8" t="s">
        <v>11</v>
      </c>
      <c r="D9" s="8" t="s">
        <v>12</v>
      </c>
      <c r="E9" s="8" t="s">
        <v>31</v>
      </c>
      <c r="F9" s="8" t="s">
        <v>14</v>
      </c>
      <c r="G9" s="8" t="s">
        <v>26</v>
      </c>
      <c r="H9" s="8" t="s">
        <v>15</v>
      </c>
      <c r="I9" s="8" t="s">
        <v>29</v>
      </c>
    </row>
    <row r="10" spans="1:10" x14ac:dyDescent="0.2">
      <c r="A10" s="4">
        <v>45679.714285671296</v>
      </c>
      <c r="B10" s="5" t="s">
        <v>10</v>
      </c>
      <c r="C10" s="5" t="s">
        <v>32</v>
      </c>
      <c r="D10" s="5" t="s">
        <v>22</v>
      </c>
      <c r="E10" s="5" t="s">
        <v>13</v>
      </c>
      <c r="F10" s="5" t="s">
        <v>14</v>
      </c>
      <c r="G10" s="5" t="s">
        <v>13</v>
      </c>
      <c r="H10" s="5" t="s">
        <v>15</v>
      </c>
      <c r="I10" s="5" t="s">
        <v>33</v>
      </c>
    </row>
    <row r="11" spans="1:10" x14ac:dyDescent="0.2">
      <c r="A11" s="7">
        <v>45679.716964618055</v>
      </c>
      <c r="B11" s="8" t="s">
        <v>10</v>
      </c>
      <c r="C11" s="8" t="s">
        <v>11</v>
      </c>
      <c r="D11" s="8" t="s">
        <v>22</v>
      </c>
      <c r="E11" s="8" t="s">
        <v>34</v>
      </c>
      <c r="F11" s="8" t="s">
        <v>26</v>
      </c>
      <c r="G11" s="8" t="s">
        <v>13</v>
      </c>
      <c r="H11" s="8" t="s">
        <v>15</v>
      </c>
      <c r="I11" s="8" t="s">
        <v>35</v>
      </c>
    </row>
    <row r="12" spans="1:10" x14ac:dyDescent="0.2">
      <c r="A12" s="4">
        <v>45679.719247673609</v>
      </c>
      <c r="B12" s="5" t="s">
        <v>17</v>
      </c>
      <c r="C12" s="5" t="s">
        <v>11</v>
      </c>
      <c r="D12" s="5" t="s">
        <v>22</v>
      </c>
      <c r="E12" s="5" t="s">
        <v>13</v>
      </c>
      <c r="F12" s="5" t="s">
        <v>14</v>
      </c>
      <c r="G12" s="5" t="s">
        <v>14</v>
      </c>
      <c r="H12" s="5" t="s">
        <v>15</v>
      </c>
      <c r="I12" s="5" t="s">
        <v>36</v>
      </c>
      <c r="J12" s="6" t="s">
        <v>37</v>
      </c>
    </row>
    <row r="13" spans="1:10" x14ac:dyDescent="0.2">
      <c r="A13" s="7">
        <v>45679.719647916667</v>
      </c>
      <c r="B13" s="8" t="s">
        <v>17</v>
      </c>
      <c r="C13" s="8" t="s">
        <v>11</v>
      </c>
      <c r="D13" s="8" t="s">
        <v>12</v>
      </c>
      <c r="E13" s="8" t="s">
        <v>31</v>
      </c>
      <c r="F13" s="8" t="s">
        <v>30</v>
      </c>
      <c r="G13" s="8" t="s">
        <v>14</v>
      </c>
      <c r="H13" s="8" t="s">
        <v>15</v>
      </c>
      <c r="I13" s="8" t="s">
        <v>33</v>
      </c>
    </row>
    <row r="14" spans="1:10" x14ac:dyDescent="0.2">
      <c r="A14" s="4">
        <v>45679.73025390046</v>
      </c>
      <c r="B14" s="5" t="s">
        <v>17</v>
      </c>
      <c r="C14" s="5" t="s">
        <v>11</v>
      </c>
      <c r="D14" s="5" t="s">
        <v>22</v>
      </c>
      <c r="E14" s="5" t="s">
        <v>13</v>
      </c>
      <c r="F14" s="5" t="s">
        <v>38</v>
      </c>
      <c r="G14" s="5" t="s">
        <v>38</v>
      </c>
      <c r="H14" s="5" t="s">
        <v>23</v>
      </c>
      <c r="I14" s="5" t="s">
        <v>39</v>
      </c>
    </row>
    <row r="15" spans="1:10" x14ac:dyDescent="0.2">
      <c r="A15" s="7">
        <v>45679.734568912041</v>
      </c>
      <c r="B15" s="8" t="s">
        <v>40</v>
      </c>
      <c r="C15" s="8" t="s">
        <v>11</v>
      </c>
      <c r="D15" s="8" t="s">
        <v>22</v>
      </c>
      <c r="E15" s="8" t="s">
        <v>13</v>
      </c>
      <c r="F15" s="8" t="s">
        <v>19</v>
      </c>
      <c r="G15" s="8" t="s">
        <v>41</v>
      </c>
      <c r="H15" s="8" t="s">
        <v>15</v>
      </c>
      <c r="I15" s="8" t="s">
        <v>33</v>
      </c>
    </row>
    <row r="16" spans="1:10" x14ac:dyDescent="0.2">
      <c r="A16" s="4">
        <v>45679.736209456023</v>
      </c>
      <c r="B16" s="5" t="s">
        <v>10</v>
      </c>
      <c r="C16" s="5" t="s">
        <v>11</v>
      </c>
      <c r="D16" s="5" t="s">
        <v>12</v>
      </c>
      <c r="E16" s="5" t="s">
        <v>34</v>
      </c>
      <c r="F16" s="5" t="s">
        <v>38</v>
      </c>
      <c r="G16" s="5" t="s">
        <v>38</v>
      </c>
      <c r="H16" s="5" t="s">
        <v>15</v>
      </c>
      <c r="I16" s="5" t="s">
        <v>42</v>
      </c>
    </row>
    <row r="17" spans="1:10" x14ac:dyDescent="0.2">
      <c r="A17" s="7">
        <v>45679.745117592596</v>
      </c>
      <c r="B17" s="8" t="s">
        <v>10</v>
      </c>
      <c r="C17" s="8" t="s">
        <v>11</v>
      </c>
      <c r="D17" s="8" t="s">
        <v>12</v>
      </c>
      <c r="E17" s="8" t="s">
        <v>13</v>
      </c>
      <c r="F17" s="8" t="s">
        <v>41</v>
      </c>
      <c r="G17" s="8" t="s">
        <v>41</v>
      </c>
      <c r="H17" s="8" t="s">
        <v>23</v>
      </c>
      <c r="I17" s="8" t="s">
        <v>43</v>
      </c>
    </row>
    <row r="18" spans="1:10" x14ac:dyDescent="0.2">
      <c r="A18" s="4">
        <v>45679.789959467591</v>
      </c>
      <c r="B18" s="5" t="s">
        <v>40</v>
      </c>
      <c r="C18" s="5" t="s">
        <v>11</v>
      </c>
      <c r="D18" s="5" t="s">
        <v>22</v>
      </c>
      <c r="E18" s="5" t="s">
        <v>13</v>
      </c>
      <c r="F18" s="5" t="s">
        <v>19</v>
      </c>
      <c r="G18" s="5" t="s">
        <v>13</v>
      </c>
      <c r="H18" s="5" t="s">
        <v>23</v>
      </c>
      <c r="I18" s="5" t="s">
        <v>33</v>
      </c>
    </row>
    <row r="19" spans="1:10" x14ac:dyDescent="0.2">
      <c r="A19" s="7">
        <v>45679.856360057871</v>
      </c>
      <c r="B19" s="8" t="s">
        <v>10</v>
      </c>
      <c r="C19" s="8" t="s">
        <v>44</v>
      </c>
      <c r="D19" s="8" t="s">
        <v>12</v>
      </c>
      <c r="E19" s="8" t="s">
        <v>13</v>
      </c>
      <c r="F19" s="8" t="s">
        <v>19</v>
      </c>
      <c r="G19" s="8" t="s">
        <v>13</v>
      </c>
    </row>
    <row r="20" spans="1:10" x14ac:dyDescent="0.2">
      <c r="A20" s="4">
        <v>45679.86601017361</v>
      </c>
      <c r="B20" s="5" t="s">
        <v>40</v>
      </c>
      <c r="C20" s="5" t="s">
        <v>45</v>
      </c>
      <c r="D20" s="5" t="s">
        <v>22</v>
      </c>
      <c r="E20" s="5" t="s">
        <v>13</v>
      </c>
      <c r="F20" s="5" t="s">
        <v>19</v>
      </c>
      <c r="G20" s="5" t="s">
        <v>13</v>
      </c>
      <c r="I20" s="5" t="s">
        <v>46</v>
      </c>
      <c r="J20" s="6" t="s">
        <v>47</v>
      </c>
    </row>
    <row r="21" spans="1:10" x14ac:dyDescent="0.2">
      <c r="A21" s="7">
        <v>45679.880623263889</v>
      </c>
      <c r="B21" s="8" t="s">
        <v>17</v>
      </c>
      <c r="C21" s="8" t="s">
        <v>11</v>
      </c>
      <c r="D21" s="8" t="s">
        <v>12</v>
      </c>
      <c r="E21" s="8" t="s">
        <v>18</v>
      </c>
      <c r="F21" s="8" t="s">
        <v>38</v>
      </c>
      <c r="G21" s="8" t="s">
        <v>38</v>
      </c>
      <c r="H21" s="8" t="s">
        <v>15</v>
      </c>
      <c r="I21" s="8" t="s">
        <v>48</v>
      </c>
    </row>
    <row r="22" spans="1:10" x14ac:dyDescent="0.2">
      <c r="A22" s="4">
        <v>45679.892367361113</v>
      </c>
      <c r="B22" s="5" t="s">
        <v>17</v>
      </c>
      <c r="C22" s="5" t="s">
        <v>11</v>
      </c>
      <c r="D22" s="5" t="s">
        <v>22</v>
      </c>
      <c r="E22" s="5" t="s">
        <v>13</v>
      </c>
      <c r="F22" s="5" t="s">
        <v>19</v>
      </c>
      <c r="G22" s="5" t="s">
        <v>38</v>
      </c>
      <c r="H22" s="5" t="s">
        <v>23</v>
      </c>
      <c r="I22" s="5" t="s">
        <v>33</v>
      </c>
    </row>
    <row r="23" spans="1:10" x14ac:dyDescent="0.2">
      <c r="A23" s="7">
        <v>45679.976412569449</v>
      </c>
      <c r="B23" s="8" t="s">
        <v>17</v>
      </c>
      <c r="C23" s="8" t="s">
        <v>11</v>
      </c>
      <c r="D23" s="8" t="s">
        <v>22</v>
      </c>
      <c r="E23" s="8" t="s">
        <v>13</v>
      </c>
      <c r="F23" s="8" t="s">
        <v>49</v>
      </c>
      <c r="G23" s="8" t="s">
        <v>13</v>
      </c>
      <c r="I23" s="8" t="s">
        <v>50</v>
      </c>
    </row>
    <row r="24" spans="1:10" x14ac:dyDescent="0.2">
      <c r="A24" s="4">
        <v>45680.007864884261</v>
      </c>
      <c r="B24" s="5" t="s">
        <v>40</v>
      </c>
      <c r="C24" s="5" t="s">
        <v>11</v>
      </c>
      <c r="D24" s="5" t="s">
        <v>13</v>
      </c>
      <c r="E24" s="5" t="s">
        <v>13</v>
      </c>
      <c r="F24" s="5" t="s">
        <v>19</v>
      </c>
      <c r="G24" s="5" t="s">
        <v>13</v>
      </c>
      <c r="I24" s="5" t="s">
        <v>33</v>
      </c>
    </row>
    <row r="25" spans="1:10" x14ac:dyDescent="0.2">
      <c r="A25" s="7">
        <v>45680.320305914356</v>
      </c>
      <c r="B25" s="8" t="s">
        <v>17</v>
      </c>
      <c r="C25" s="8" t="s">
        <v>21</v>
      </c>
      <c r="D25" s="8" t="s">
        <v>22</v>
      </c>
      <c r="E25" s="8" t="s">
        <v>13</v>
      </c>
      <c r="F25" s="8" t="s">
        <v>49</v>
      </c>
      <c r="G25" s="8" t="s">
        <v>13</v>
      </c>
      <c r="I25" s="8" t="s">
        <v>16</v>
      </c>
    </row>
    <row r="26" spans="1:10" x14ac:dyDescent="0.2">
      <c r="A26" s="4">
        <v>45680.335879270831</v>
      </c>
      <c r="B26" s="5" t="s">
        <v>40</v>
      </c>
      <c r="C26" s="5" t="s">
        <v>11</v>
      </c>
      <c r="D26" s="5" t="s">
        <v>22</v>
      </c>
      <c r="E26" s="5" t="s">
        <v>18</v>
      </c>
      <c r="F26" s="5" t="s">
        <v>41</v>
      </c>
      <c r="G26" s="5" t="s">
        <v>41</v>
      </c>
      <c r="H26" s="5" t="s">
        <v>15</v>
      </c>
      <c r="I26" s="5" t="s">
        <v>51</v>
      </c>
    </row>
    <row r="27" spans="1:10" x14ac:dyDescent="0.2">
      <c r="A27" s="7">
        <v>45680.356543807866</v>
      </c>
      <c r="B27" s="8" t="s">
        <v>40</v>
      </c>
      <c r="C27" s="8" t="s">
        <v>11</v>
      </c>
      <c r="D27" s="8" t="s">
        <v>12</v>
      </c>
      <c r="E27" s="8" t="s">
        <v>13</v>
      </c>
      <c r="F27" s="8" t="s">
        <v>38</v>
      </c>
      <c r="G27" s="8" t="s">
        <v>38</v>
      </c>
      <c r="H27" s="8" t="s">
        <v>23</v>
      </c>
      <c r="I27" s="8" t="s">
        <v>52</v>
      </c>
    </row>
    <row r="28" spans="1:10" x14ac:dyDescent="0.2">
      <c r="A28" s="4">
        <v>45680.367232106481</v>
      </c>
      <c r="B28" s="5" t="s">
        <v>10</v>
      </c>
      <c r="C28" s="5" t="s">
        <v>11</v>
      </c>
      <c r="D28" s="5" t="s">
        <v>12</v>
      </c>
      <c r="E28" s="5" t="s">
        <v>34</v>
      </c>
      <c r="F28" s="5" t="s">
        <v>19</v>
      </c>
      <c r="G28" s="5" t="s">
        <v>38</v>
      </c>
      <c r="H28" s="5" t="s">
        <v>15</v>
      </c>
      <c r="I28" s="5" t="s">
        <v>33</v>
      </c>
      <c r="J28" s="6" t="s">
        <v>53</v>
      </c>
    </row>
    <row r="29" spans="1:10" x14ac:dyDescent="0.2">
      <c r="A29" s="7">
        <v>45680.406850486106</v>
      </c>
      <c r="B29" s="8" t="s">
        <v>54</v>
      </c>
      <c r="C29" s="8" t="s">
        <v>11</v>
      </c>
      <c r="D29" s="8" t="s">
        <v>22</v>
      </c>
      <c r="E29" s="8" t="s">
        <v>13</v>
      </c>
      <c r="F29" s="8" t="s">
        <v>49</v>
      </c>
      <c r="G29" s="8" t="s">
        <v>38</v>
      </c>
      <c r="H29" s="8" t="s">
        <v>23</v>
      </c>
      <c r="I29" s="8" t="s">
        <v>55</v>
      </c>
    </row>
    <row r="30" spans="1:10" x14ac:dyDescent="0.2">
      <c r="A30" s="4">
        <v>45680.431812222218</v>
      </c>
      <c r="B30" s="5" t="s">
        <v>17</v>
      </c>
      <c r="C30" s="5" t="s">
        <v>11</v>
      </c>
      <c r="D30" s="5" t="s">
        <v>22</v>
      </c>
      <c r="E30" s="5" t="s">
        <v>13</v>
      </c>
      <c r="F30" s="5" t="s">
        <v>38</v>
      </c>
      <c r="G30" s="5" t="s">
        <v>38</v>
      </c>
      <c r="H30" s="5" t="s">
        <v>15</v>
      </c>
      <c r="I30" s="5" t="s">
        <v>56</v>
      </c>
      <c r="J30" s="6" t="s">
        <v>57</v>
      </c>
    </row>
    <row r="31" spans="1:10" x14ac:dyDescent="0.2">
      <c r="A31" s="7">
        <v>45680.441968368061</v>
      </c>
      <c r="B31" s="8" t="s">
        <v>17</v>
      </c>
      <c r="C31" s="8" t="s">
        <v>11</v>
      </c>
      <c r="D31" s="8" t="s">
        <v>22</v>
      </c>
      <c r="E31" s="8" t="s">
        <v>13</v>
      </c>
      <c r="F31" s="8" t="s">
        <v>38</v>
      </c>
      <c r="G31" s="8" t="s">
        <v>38</v>
      </c>
      <c r="H31" s="8" t="s">
        <v>15</v>
      </c>
      <c r="I31" s="8" t="s">
        <v>58</v>
      </c>
    </row>
    <row r="32" spans="1:10" x14ac:dyDescent="0.2">
      <c r="A32" s="4">
        <v>45680.48148751157</v>
      </c>
      <c r="B32" s="5" t="s">
        <v>17</v>
      </c>
      <c r="C32" s="5" t="s">
        <v>11</v>
      </c>
      <c r="D32" s="5" t="s">
        <v>12</v>
      </c>
      <c r="E32" s="5" t="s">
        <v>13</v>
      </c>
      <c r="F32" s="5" t="s">
        <v>38</v>
      </c>
      <c r="G32" s="5" t="s">
        <v>38</v>
      </c>
      <c r="H32" s="5" t="s">
        <v>23</v>
      </c>
      <c r="I32" s="5" t="s">
        <v>59</v>
      </c>
    </row>
    <row r="33" spans="1:10" x14ac:dyDescent="0.2">
      <c r="A33" s="7">
        <v>45680.565484942126</v>
      </c>
      <c r="B33" s="8" t="s">
        <v>54</v>
      </c>
      <c r="C33" s="8" t="s">
        <v>11</v>
      </c>
      <c r="D33" s="8" t="s">
        <v>22</v>
      </c>
      <c r="E33" s="8" t="s">
        <v>31</v>
      </c>
      <c r="F33" s="8" t="s">
        <v>38</v>
      </c>
      <c r="G33" s="8" t="s">
        <v>38</v>
      </c>
      <c r="H33" s="8" t="s">
        <v>23</v>
      </c>
      <c r="I33" s="8" t="s">
        <v>33</v>
      </c>
    </row>
    <row r="34" spans="1:10" x14ac:dyDescent="0.2">
      <c r="A34" s="4">
        <v>45680.618683113426</v>
      </c>
      <c r="B34" s="5" t="s">
        <v>54</v>
      </c>
      <c r="C34" s="5" t="s">
        <v>60</v>
      </c>
      <c r="D34" s="5" t="s">
        <v>12</v>
      </c>
      <c r="E34" s="5" t="s">
        <v>34</v>
      </c>
      <c r="F34" s="5" t="s">
        <v>49</v>
      </c>
      <c r="G34" s="5" t="s">
        <v>13</v>
      </c>
      <c r="I34" s="5" t="s">
        <v>61</v>
      </c>
      <c r="J34" s="6" t="s">
        <v>62</v>
      </c>
    </row>
    <row r="35" spans="1:10" x14ac:dyDescent="0.2">
      <c r="A35" s="7">
        <v>45680.830201423611</v>
      </c>
      <c r="B35" s="8" t="s">
        <v>17</v>
      </c>
      <c r="C35" s="8" t="s">
        <v>11</v>
      </c>
      <c r="D35" s="8" t="s">
        <v>22</v>
      </c>
      <c r="E35" s="8" t="s">
        <v>13</v>
      </c>
      <c r="F35" s="8" t="s">
        <v>19</v>
      </c>
      <c r="G35" s="8" t="s">
        <v>41</v>
      </c>
      <c r="H35" s="8" t="s">
        <v>23</v>
      </c>
      <c r="I35" s="8" t="s">
        <v>33</v>
      </c>
      <c r="J35" s="9" t="s">
        <v>63</v>
      </c>
    </row>
    <row r="36" spans="1:10" x14ac:dyDescent="0.2">
      <c r="A36" s="4">
        <v>45681.375439791664</v>
      </c>
      <c r="B36" s="5" t="s">
        <v>40</v>
      </c>
      <c r="C36" s="5" t="s">
        <v>21</v>
      </c>
      <c r="D36" s="5" t="s">
        <v>22</v>
      </c>
      <c r="E36" s="5" t="s">
        <v>13</v>
      </c>
      <c r="F36" s="5" t="s">
        <v>38</v>
      </c>
      <c r="G36" s="5" t="s">
        <v>38</v>
      </c>
      <c r="H36" s="5" t="s">
        <v>15</v>
      </c>
      <c r="I36" s="5" t="s">
        <v>64</v>
      </c>
    </row>
    <row r="37" spans="1:10" x14ac:dyDescent="0.2">
      <c r="A37" s="7">
        <v>45681.725939340278</v>
      </c>
      <c r="B37" s="8" t="s">
        <v>10</v>
      </c>
      <c r="C37" s="8" t="s">
        <v>11</v>
      </c>
      <c r="D37" s="8" t="s">
        <v>12</v>
      </c>
      <c r="E37" s="8" t="s">
        <v>13</v>
      </c>
      <c r="F37" s="8" t="s">
        <v>19</v>
      </c>
      <c r="G37" s="8" t="s">
        <v>41</v>
      </c>
      <c r="H37" s="8" t="s">
        <v>15</v>
      </c>
      <c r="I37" s="8" t="s">
        <v>65</v>
      </c>
    </row>
    <row r="38" spans="1:10" x14ac:dyDescent="0.2">
      <c r="A38" s="4">
        <v>45681.922197743057</v>
      </c>
      <c r="B38" s="5" t="s">
        <v>10</v>
      </c>
      <c r="C38" s="5" t="s">
        <v>11</v>
      </c>
      <c r="D38" s="5" t="s">
        <v>12</v>
      </c>
      <c r="E38" s="5" t="s">
        <v>31</v>
      </c>
      <c r="F38" s="5" t="s">
        <v>49</v>
      </c>
      <c r="G38" s="5" t="s">
        <v>13</v>
      </c>
    </row>
    <row r="39" spans="1:10" x14ac:dyDescent="0.2">
      <c r="A39" s="7">
        <v>45682.499760752311</v>
      </c>
      <c r="B39" s="8" t="s">
        <v>40</v>
      </c>
      <c r="C39" s="8" t="s">
        <v>11</v>
      </c>
      <c r="D39" s="8" t="s">
        <v>13</v>
      </c>
      <c r="E39" s="8" t="s">
        <v>13</v>
      </c>
      <c r="F39" s="8" t="s">
        <v>19</v>
      </c>
      <c r="G39" s="8" t="s">
        <v>13</v>
      </c>
      <c r="I39" s="8" t="s">
        <v>33</v>
      </c>
    </row>
    <row r="40" spans="1:10" x14ac:dyDescent="0.2">
      <c r="A40" s="4">
        <v>45683.328517453701</v>
      </c>
      <c r="B40" s="5" t="s">
        <v>40</v>
      </c>
      <c r="C40" s="5" t="s">
        <v>11</v>
      </c>
      <c r="D40" s="5" t="s">
        <v>12</v>
      </c>
      <c r="E40" s="5" t="s">
        <v>13</v>
      </c>
      <c r="F40" s="5" t="s">
        <v>38</v>
      </c>
      <c r="G40" s="5" t="s">
        <v>13</v>
      </c>
      <c r="I40" s="5" t="s">
        <v>66</v>
      </c>
    </row>
    <row r="41" spans="1:10" x14ac:dyDescent="0.2">
      <c r="A41" s="7">
        <v>45684.567461863422</v>
      </c>
      <c r="B41" s="8" t="s">
        <v>40</v>
      </c>
      <c r="C41" s="8" t="s">
        <v>11</v>
      </c>
      <c r="D41" s="8" t="s">
        <v>22</v>
      </c>
      <c r="E41" s="8" t="s">
        <v>13</v>
      </c>
      <c r="F41" s="8" t="s">
        <v>38</v>
      </c>
      <c r="G41" s="8" t="s">
        <v>38</v>
      </c>
      <c r="H41" s="8" t="s">
        <v>15</v>
      </c>
      <c r="I41" s="8" t="s">
        <v>67</v>
      </c>
    </row>
    <row r="42" spans="1:10" x14ac:dyDescent="0.2">
      <c r="A42" s="4">
        <v>45686.663391539347</v>
      </c>
      <c r="B42" s="5" t="s">
        <v>40</v>
      </c>
      <c r="C42" s="5" t="s">
        <v>11</v>
      </c>
      <c r="D42" s="5" t="s">
        <v>13</v>
      </c>
      <c r="E42" s="5" t="s">
        <v>13</v>
      </c>
      <c r="F42" s="5" t="s">
        <v>38</v>
      </c>
      <c r="G42" s="5" t="s">
        <v>38</v>
      </c>
      <c r="H42" s="5" t="s">
        <v>15</v>
      </c>
      <c r="I42" s="5" t="s">
        <v>68</v>
      </c>
    </row>
    <row r="43" spans="1:10" x14ac:dyDescent="0.2">
      <c r="A43" s="7">
        <v>45686.677430983793</v>
      </c>
      <c r="B43" s="8" t="s">
        <v>17</v>
      </c>
      <c r="C43" s="8" t="s">
        <v>11</v>
      </c>
      <c r="D43" s="8" t="s">
        <v>22</v>
      </c>
      <c r="E43" s="8" t="s">
        <v>13</v>
      </c>
      <c r="F43" s="8" t="s">
        <v>19</v>
      </c>
      <c r="G43" s="8" t="s">
        <v>13</v>
      </c>
      <c r="I43" s="8" t="s">
        <v>27</v>
      </c>
    </row>
    <row r="44" spans="1:10" x14ac:dyDescent="0.2">
      <c r="A44" s="4">
        <v>45686.707806087958</v>
      </c>
      <c r="B44" s="5" t="s">
        <v>40</v>
      </c>
      <c r="C44" s="5" t="s">
        <v>11</v>
      </c>
      <c r="D44" s="5" t="s">
        <v>12</v>
      </c>
      <c r="E44" s="5" t="s">
        <v>13</v>
      </c>
      <c r="F44" s="5" t="s">
        <v>19</v>
      </c>
      <c r="G44" s="5" t="s">
        <v>13</v>
      </c>
      <c r="I44" s="5" t="s">
        <v>66</v>
      </c>
    </row>
    <row r="45" spans="1:10" x14ac:dyDescent="0.2">
      <c r="A45" s="7">
        <v>45687.43021337963</v>
      </c>
      <c r="B45" s="8" t="s">
        <v>10</v>
      </c>
      <c r="C45" s="8" t="s">
        <v>21</v>
      </c>
      <c r="D45" s="8" t="s">
        <v>12</v>
      </c>
      <c r="E45" s="8" t="s">
        <v>13</v>
      </c>
      <c r="F45" s="8" t="s">
        <v>19</v>
      </c>
      <c r="G45" s="8" t="s">
        <v>38</v>
      </c>
      <c r="H45" s="8" t="s">
        <v>15</v>
      </c>
    </row>
    <row r="46" spans="1:10" x14ac:dyDescent="0.2">
      <c r="A46" s="4">
        <v>45692.384191446763</v>
      </c>
      <c r="B46" s="5" t="s">
        <v>40</v>
      </c>
      <c r="C46" s="5" t="s">
        <v>21</v>
      </c>
      <c r="D46" s="5" t="s">
        <v>12</v>
      </c>
      <c r="E46" s="5" t="s">
        <v>13</v>
      </c>
      <c r="F46" s="5" t="s">
        <v>19</v>
      </c>
      <c r="G46" s="5" t="s">
        <v>38</v>
      </c>
      <c r="H46" s="5" t="s">
        <v>15</v>
      </c>
      <c r="I46" s="5" t="s">
        <v>24</v>
      </c>
    </row>
    <row r="47" spans="1:10" x14ac:dyDescent="0.2">
      <c r="A47" s="7">
        <v>45695.495939976856</v>
      </c>
      <c r="B47" s="8" t="s">
        <v>10</v>
      </c>
      <c r="C47" s="8" t="s">
        <v>11</v>
      </c>
      <c r="D47" s="8" t="s">
        <v>12</v>
      </c>
      <c r="E47" s="8" t="s">
        <v>13</v>
      </c>
      <c r="F47" s="8" t="s">
        <v>38</v>
      </c>
      <c r="G47" s="8" t="s">
        <v>38</v>
      </c>
      <c r="H47" s="8" t="s">
        <v>23</v>
      </c>
      <c r="I47" s="8" t="s">
        <v>29</v>
      </c>
    </row>
    <row r="48" spans="1:10" x14ac:dyDescent="0.2">
      <c r="A48" s="4">
        <v>45699.86394210648</v>
      </c>
      <c r="B48" s="5" t="s">
        <v>40</v>
      </c>
      <c r="C48" s="5" t="s">
        <v>11</v>
      </c>
      <c r="D48" s="5" t="s">
        <v>12</v>
      </c>
      <c r="E48" s="5" t="s">
        <v>13</v>
      </c>
      <c r="F48" s="5" t="s">
        <v>38</v>
      </c>
      <c r="G48" s="5" t="s">
        <v>38</v>
      </c>
      <c r="H48" s="5" t="s">
        <v>15</v>
      </c>
      <c r="I48" s="5" t="s">
        <v>69</v>
      </c>
    </row>
    <row r="49" spans="1:9" x14ac:dyDescent="0.2">
      <c r="A49" s="10">
        <v>45738.551559270833</v>
      </c>
      <c r="B49" s="11" t="s">
        <v>54</v>
      </c>
      <c r="C49" s="11" t="s">
        <v>11</v>
      </c>
      <c r="D49" s="11" t="s">
        <v>22</v>
      </c>
      <c r="E49" s="11" t="s">
        <v>13</v>
      </c>
      <c r="F49" s="11" t="s">
        <v>19</v>
      </c>
      <c r="G49" s="11" t="s">
        <v>38</v>
      </c>
      <c r="H49" s="11" t="s">
        <v>15</v>
      </c>
      <c r="I49" s="11" t="s">
        <v>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16814-C1FB-47A9-96EA-4B13BA72A50E}">
  <dimension ref="A1:J49"/>
  <sheetViews>
    <sheetView workbookViewId="0">
      <selection sqref="A1:J1048576"/>
    </sheetView>
  </sheetViews>
  <sheetFormatPr defaultRowHeight="12.75" x14ac:dyDescent="0.2"/>
  <cols>
    <col min="1" max="1" width="12" bestFit="1" customWidth="1"/>
    <col min="2" max="2" width="22.140625" bestFit="1" customWidth="1"/>
    <col min="3" max="3" width="20.140625" bestFit="1" customWidth="1"/>
    <col min="4" max="4" width="50" bestFit="1" customWidth="1"/>
    <col min="5" max="5" width="30" bestFit="1" customWidth="1"/>
    <col min="6" max="6" width="44.140625" bestFit="1" customWidth="1"/>
    <col min="7" max="7" width="40.140625" bestFit="1" customWidth="1"/>
    <col min="8" max="8" width="16.42578125" bestFit="1" customWidth="1"/>
    <col min="9" max="9" width="20.42578125" bestFit="1" customWidth="1"/>
    <col min="10" max="10" width="255.7109375" bestFit="1" customWidth="1"/>
  </cols>
  <sheetData>
    <row r="1" spans="1:10" x14ac:dyDescent="0.2">
      <c r="A1" t="s">
        <v>80</v>
      </c>
      <c r="B1" t="s">
        <v>71</v>
      </c>
      <c r="C1" t="s">
        <v>72</v>
      </c>
      <c r="D1" t="s">
        <v>73</v>
      </c>
      <c r="E1" t="s">
        <v>74</v>
      </c>
      <c r="F1" t="s">
        <v>75</v>
      </c>
      <c r="G1" t="s">
        <v>76</v>
      </c>
      <c r="H1" t="s">
        <v>77</v>
      </c>
      <c r="I1" t="s">
        <v>78</v>
      </c>
      <c r="J1" t="s">
        <v>79</v>
      </c>
    </row>
    <row r="2" spans="1:10" x14ac:dyDescent="0.2">
      <c r="A2">
        <v>45678.744763518524</v>
      </c>
      <c r="B2" t="s">
        <v>10</v>
      </c>
      <c r="C2" t="s">
        <v>11</v>
      </c>
      <c r="D2" t="s">
        <v>12</v>
      </c>
      <c r="E2" t="s">
        <v>13</v>
      </c>
      <c r="F2" t="s">
        <v>14</v>
      </c>
      <c r="G2" t="s">
        <v>14</v>
      </c>
      <c r="H2" t="s">
        <v>15</v>
      </c>
      <c r="I2" t="s">
        <v>16</v>
      </c>
    </row>
    <row r="3" spans="1:10" x14ac:dyDescent="0.2">
      <c r="A3">
        <v>45678.757681898147</v>
      </c>
      <c r="B3" t="s">
        <v>17</v>
      </c>
      <c r="C3" t="s">
        <v>11</v>
      </c>
      <c r="D3" t="s">
        <v>12</v>
      </c>
      <c r="E3" t="s">
        <v>18</v>
      </c>
      <c r="F3" t="s">
        <v>19</v>
      </c>
      <c r="G3" t="s">
        <v>14</v>
      </c>
      <c r="H3" t="s">
        <v>15</v>
      </c>
      <c r="I3" t="s">
        <v>20</v>
      </c>
    </row>
    <row r="4" spans="1:10" x14ac:dyDescent="0.2">
      <c r="A4">
        <v>45678.786606493057</v>
      </c>
      <c r="B4" t="s">
        <v>17</v>
      </c>
      <c r="C4" t="s">
        <v>21</v>
      </c>
      <c r="D4" t="s">
        <v>22</v>
      </c>
      <c r="E4" t="s">
        <v>13</v>
      </c>
      <c r="F4" t="s">
        <v>14</v>
      </c>
      <c r="G4" t="s">
        <v>14</v>
      </c>
      <c r="H4" t="s">
        <v>23</v>
      </c>
      <c r="I4" t="s">
        <v>24</v>
      </c>
      <c r="J4" t="s">
        <v>13</v>
      </c>
    </row>
    <row r="5" spans="1:10" x14ac:dyDescent="0.2">
      <c r="A5">
        <v>45678.801338495367</v>
      </c>
      <c r="B5" t="s">
        <v>10</v>
      </c>
      <c r="C5" t="s">
        <v>11</v>
      </c>
      <c r="D5" t="s">
        <v>22</v>
      </c>
      <c r="E5" t="s">
        <v>13</v>
      </c>
      <c r="F5" t="s">
        <v>14</v>
      </c>
      <c r="G5" t="s">
        <v>14</v>
      </c>
      <c r="H5" t="s">
        <v>15</v>
      </c>
      <c r="I5" t="s">
        <v>25</v>
      </c>
    </row>
    <row r="6" spans="1:10" x14ac:dyDescent="0.2">
      <c r="A6">
        <v>45678.890740416668</v>
      </c>
      <c r="B6" t="s">
        <v>17</v>
      </c>
      <c r="C6" t="s">
        <v>11</v>
      </c>
      <c r="D6" t="s">
        <v>22</v>
      </c>
      <c r="E6" t="s">
        <v>13</v>
      </c>
      <c r="F6" t="s">
        <v>19</v>
      </c>
      <c r="G6" t="s">
        <v>26</v>
      </c>
      <c r="H6" t="s">
        <v>23</v>
      </c>
      <c r="I6" t="s">
        <v>27</v>
      </c>
      <c r="J6" t="s">
        <v>28</v>
      </c>
    </row>
    <row r="7" spans="1:10" x14ac:dyDescent="0.2">
      <c r="A7">
        <v>45678.913685497682</v>
      </c>
      <c r="B7" t="s">
        <v>17</v>
      </c>
      <c r="C7" t="s">
        <v>11</v>
      </c>
      <c r="D7" t="s">
        <v>12</v>
      </c>
      <c r="E7" t="s">
        <v>13</v>
      </c>
      <c r="F7" t="s">
        <v>14</v>
      </c>
      <c r="G7" t="s">
        <v>26</v>
      </c>
      <c r="H7" t="s">
        <v>15</v>
      </c>
      <c r="I7" t="s">
        <v>29</v>
      </c>
    </row>
    <row r="8" spans="1:10" x14ac:dyDescent="0.2">
      <c r="A8">
        <v>45679.445971782407</v>
      </c>
      <c r="B8" t="s">
        <v>10</v>
      </c>
      <c r="C8" t="s">
        <v>21</v>
      </c>
      <c r="D8" t="s">
        <v>12</v>
      </c>
      <c r="E8" t="s">
        <v>13</v>
      </c>
      <c r="F8" t="s">
        <v>30</v>
      </c>
      <c r="G8" t="s">
        <v>13</v>
      </c>
      <c r="H8" t="s">
        <v>15</v>
      </c>
    </row>
    <row r="9" spans="1:10" x14ac:dyDescent="0.2">
      <c r="A9">
        <v>45679.619907847227</v>
      </c>
      <c r="B9" t="s">
        <v>10</v>
      </c>
      <c r="C9" t="s">
        <v>11</v>
      </c>
      <c r="D9" t="s">
        <v>12</v>
      </c>
      <c r="E9" t="s">
        <v>31</v>
      </c>
      <c r="F9" t="s">
        <v>14</v>
      </c>
      <c r="G9" t="s">
        <v>26</v>
      </c>
      <c r="H9" t="s">
        <v>15</v>
      </c>
      <c r="I9" t="s">
        <v>29</v>
      </c>
    </row>
    <row r="10" spans="1:10" x14ac:dyDescent="0.2">
      <c r="A10">
        <v>45679.714285671296</v>
      </c>
      <c r="B10" t="s">
        <v>10</v>
      </c>
      <c r="C10" t="s">
        <v>32</v>
      </c>
      <c r="D10" t="s">
        <v>22</v>
      </c>
      <c r="E10" t="s">
        <v>13</v>
      </c>
      <c r="F10" t="s">
        <v>14</v>
      </c>
      <c r="G10" t="s">
        <v>13</v>
      </c>
      <c r="H10" t="s">
        <v>15</v>
      </c>
      <c r="I10" t="s">
        <v>33</v>
      </c>
    </row>
    <row r="11" spans="1:10" x14ac:dyDescent="0.2">
      <c r="A11">
        <v>45679.716964618055</v>
      </c>
      <c r="B11" t="s">
        <v>10</v>
      </c>
      <c r="C11" t="s">
        <v>11</v>
      </c>
      <c r="D11" t="s">
        <v>22</v>
      </c>
      <c r="E11" t="s">
        <v>34</v>
      </c>
      <c r="F11" t="s">
        <v>26</v>
      </c>
      <c r="G11" t="s">
        <v>13</v>
      </c>
      <c r="H11" t="s">
        <v>15</v>
      </c>
      <c r="I11" t="s">
        <v>35</v>
      </c>
    </row>
    <row r="12" spans="1:10" x14ac:dyDescent="0.2">
      <c r="A12">
        <v>45679.719247673609</v>
      </c>
      <c r="B12" t="s">
        <v>17</v>
      </c>
      <c r="C12" t="s">
        <v>11</v>
      </c>
      <c r="D12" t="s">
        <v>22</v>
      </c>
      <c r="E12" t="s">
        <v>13</v>
      </c>
      <c r="F12" t="s">
        <v>14</v>
      </c>
      <c r="G12" t="s">
        <v>14</v>
      </c>
      <c r="H12" t="s">
        <v>15</v>
      </c>
      <c r="I12" t="s">
        <v>36</v>
      </c>
      <c r="J12" t="s">
        <v>37</v>
      </c>
    </row>
    <row r="13" spans="1:10" x14ac:dyDescent="0.2">
      <c r="A13">
        <v>45679.719647916667</v>
      </c>
      <c r="B13" t="s">
        <v>17</v>
      </c>
      <c r="C13" t="s">
        <v>11</v>
      </c>
      <c r="D13" t="s">
        <v>12</v>
      </c>
      <c r="E13" t="s">
        <v>31</v>
      </c>
      <c r="F13" t="s">
        <v>30</v>
      </c>
      <c r="G13" t="s">
        <v>14</v>
      </c>
      <c r="H13" t="s">
        <v>15</v>
      </c>
      <c r="I13" t="s">
        <v>33</v>
      </c>
    </row>
    <row r="14" spans="1:10" x14ac:dyDescent="0.2">
      <c r="A14">
        <v>45679.73025390046</v>
      </c>
      <c r="B14" t="s">
        <v>17</v>
      </c>
      <c r="C14" t="s">
        <v>11</v>
      </c>
      <c r="D14" t="s">
        <v>22</v>
      </c>
      <c r="E14" t="s">
        <v>13</v>
      </c>
      <c r="F14" t="s">
        <v>38</v>
      </c>
      <c r="G14" t="s">
        <v>38</v>
      </c>
      <c r="H14" t="s">
        <v>23</v>
      </c>
      <c r="I14" t="s">
        <v>39</v>
      </c>
    </row>
    <row r="15" spans="1:10" x14ac:dyDescent="0.2">
      <c r="A15">
        <v>45679.734568912041</v>
      </c>
      <c r="B15" t="s">
        <v>40</v>
      </c>
      <c r="C15" t="s">
        <v>11</v>
      </c>
      <c r="D15" t="s">
        <v>22</v>
      </c>
      <c r="E15" t="s">
        <v>13</v>
      </c>
      <c r="F15" t="s">
        <v>19</v>
      </c>
      <c r="G15" t="s">
        <v>41</v>
      </c>
      <c r="H15" t="s">
        <v>15</v>
      </c>
      <c r="I15" t="s">
        <v>33</v>
      </c>
    </row>
    <row r="16" spans="1:10" x14ac:dyDescent="0.2">
      <c r="A16">
        <v>45679.736209456023</v>
      </c>
      <c r="B16" t="s">
        <v>10</v>
      </c>
      <c r="C16" t="s">
        <v>11</v>
      </c>
      <c r="D16" t="s">
        <v>12</v>
      </c>
      <c r="E16" t="s">
        <v>34</v>
      </c>
      <c r="F16" t="s">
        <v>38</v>
      </c>
      <c r="G16" t="s">
        <v>38</v>
      </c>
      <c r="H16" t="s">
        <v>15</v>
      </c>
      <c r="I16" t="s">
        <v>42</v>
      </c>
    </row>
    <row r="17" spans="1:10" x14ac:dyDescent="0.2">
      <c r="A17">
        <v>45679.745117592596</v>
      </c>
      <c r="B17" t="s">
        <v>10</v>
      </c>
      <c r="C17" t="s">
        <v>11</v>
      </c>
      <c r="D17" t="s">
        <v>12</v>
      </c>
      <c r="E17" t="s">
        <v>13</v>
      </c>
      <c r="F17" t="s">
        <v>41</v>
      </c>
      <c r="G17" t="s">
        <v>41</v>
      </c>
      <c r="H17" t="s">
        <v>23</v>
      </c>
      <c r="I17" t="s">
        <v>43</v>
      </c>
    </row>
    <row r="18" spans="1:10" x14ac:dyDescent="0.2">
      <c r="A18">
        <v>45679.789959467591</v>
      </c>
      <c r="B18" t="s">
        <v>40</v>
      </c>
      <c r="C18" t="s">
        <v>11</v>
      </c>
      <c r="D18" t="s">
        <v>22</v>
      </c>
      <c r="E18" t="s">
        <v>13</v>
      </c>
      <c r="F18" t="s">
        <v>19</v>
      </c>
      <c r="G18" t="s">
        <v>13</v>
      </c>
      <c r="H18" t="s">
        <v>23</v>
      </c>
      <c r="I18" t="s">
        <v>33</v>
      </c>
    </row>
    <row r="19" spans="1:10" x14ac:dyDescent="0.2">
      <c r="A19">
        <v>45679.856360057871</v>
      </c>
      <c r="B19" t="s">
        <v>10</v>
      </c>
      <c r="C19" t="s">
        <v>44</v>
      </c>
      <c r="D19" t="s">
        <v>12</v>
      </c>
      <c r="E19" t="s">
        <v>13</v>
      </c>
      <c r="F19" t="s">
        <v>19</v>
      </c>
      <c r="G19" t="s">
        <v>13</v>
      </c>
    </row>
    <row r="20" spans="1:10" x14ac:dyDescent="0.2">
      <c r="A20">
        <v>45679.86601017361</v>
      </c>
      <c r="B20" t="s">
        <v>40</v>
      </c>
      <c r="C20" t="s">
        <v>45</v>
      </c>
      <c r="D20" t="s">
        <v>22</v>
      </c>
      <c r="E20" t="s">
        <v>13</v>
      </c>
      <c r="F20" t="s">
        <v>19</v>
      </c>
      <c r="G20" t="s">
        <v>13</v>
      </c>
      <c r="I20" t="s">
        <v>46</v>
      </c>
      <c r="J20" t="s">
        <v>47</v>
      </c>
    </row>
    <row r="21" spans="1:10" x14ac:dyDescent="0.2">
      <c r="A21">
        <v>45679.880623263889</v>
      </c>
      <c r="B21" t="s">
        <v>17</v>
      </c>
      <c r="C21" t="s">
        <v>11</v>
      </c>
      <c r="D21" t="s">
        <v>12</v>
      </c>
      <c r="E21" t="s">
        <v>18</v>
      </c>
      <c r="F21" t="s">
        <v>38</v>
      </c>
      <c r="G21" t="s">
        <v>38</v>
      </c>
      <c r="H21" t="s">
        <v>15</v>
      </c>
      <c r="I21" t="s">
        <v>48</v>
      </c>
    </row>
    <row r="22" spans="1:10" x14ac:dyDescent="0.2">
      <c r="A22">
        <v>45679.892367361113</v>
      </c>
      <c r="B22" t="s">
        <v>17</v>
      </c>
      <c r="C22" t="s">
        <v>11</v>
      </c>
      <c r="D22" t="s">
        <v>22</v>
      </c>
      <c r="E22" t="s">
        <v>13</v>
      </c>
      <c r="F22" t="s">
        <v>19</v>
      </c>
      <c r="G22" t="s">
        <v>38</v>
      </c>
      <c r="H22" t="s">
        <v>23</v>
      </c>
      <c r="I22" t="s">
        <v>33</v>
      </c>
    </row>
    <row r="23" spans="1:10" x14ac:dyDescent="0.2">
      <c r="A23">
        <v>45679.976412569449</v>
      </c>
      <c r="B23" t="s">
        <v>17</v>
      </c>
      <c r="C23" t="s">
        <v>11</v>
      </c>
      <c r="D23" t="s">
        <v>22</v>
      </c>
      <c r="E23" t="s">
        <v>13</v>
      </c>
      <c r="F23" t="s">
        <v>49</v>
      </c>
      <c r="G23" t="s">
        <v>13</v>
      </c>
      <c r="I23" t="s">
        <v>50</v>
      </c>
    </row>
    <row r="24" spans="1:10" x14ac:dyDescent="0.2">
      <c r="A24">
        <v>45680.007864884261</v>
      </c>
      <c r="B24" t="s">
        <v>40</v>
      </c>
      <c r="C24" t="s">
        <v>11</v>
      </c>
      <c r="D24" t="s">
        <v>13</v>
      </c>
      <c r="E24" t="s">
        <v>13</v>
      </c>
      <c r="F24" t="s">
        <v>19</v>
      </c>
      <c r="G24" t="s">
        <v>13</v>
      </c>
      <c r="I24" t="s">
        <v>33</v>
      </c>
    </row>
    <row r="25" spans="1:10" x14ac:dyDescent="0.2">
      <c r="A25">
        <v>45680.320305914356</v>
      </c>
      <c r="B25" t="s">
        <v>17</v>
      </c>
      <c r="C25" t="s">
        <v>21</v>
      </c>
      <c r="D25" t="s">
        <v>22</v>
      </c>
      <c r="E25" t="s">
        <v>13</v>
      </c>
      <c r="F25" t="s">
        <v>49</v>
      </c>
      <c r="G25" t="s">
        <v>13</v>
      </c>
      <c r="I25" t="s">
        <v>16</v>
      </c>
    </row>
    <row r="26" spans="1:10" x14ac:dyDescent="0.2">
      <c r="A26">
        <v>45680.335879270831</v>
      </c>
      <c r="B26" t="s">
        <v>40</v>
      </c>
      <c r="C26" t="s">
        <v>11</v>
      </c>
      <c r="D26" t="s">
        <v>22</v>
      </c>
      <c r="E26" t="s">
        <v>18</v>
      </c>
      <c r="F26" t="s">
        <v>41</v>
      </c>
      <c r="G26" t="s">
        <v>41</v>
      </c>
      <c r="H26" t="s">
        <v>15</v>
      </c>
      <c r="I26" t="s">
        <v>51</v>
      </c>
    </row>
    <row r="27" spans="1:10" x14ac:dyDescent="0.2">
      <c r="A27">
        <v>45680.356543807866</v>
      </c>
      <c r="B27" t="s">
        <v>40</v>
      </c>
      <c r="C27" t="s">
        <v>11</v>
      </c>
      <c r="D27" t="s">
        <v>12</v>
      </c>
      <c r="E27" t="s">
        <v>13</v>
      </c>
      <c r="F27" t="s">
        <v>38</v>
      </c>
      <c r="G27" t="s">
        <v>38</v>
      </c>
      <c r="H27" t="s">
        <v>23</v>
      </c>
      <c r="I27" t="s">
        <v>52</v>
      </c>
    </row>
    <row r="28" spans="1:10" x14ac:dyDescent="0.2">
      <c r="A28">
        <v>45680.367232106481</v>
      </c>
      <c r="B28" t="s">
        <v>10</v>
      </c>
      <c r="C28" t="s">
        <v>11</v>
      </c>
      <c r="D28" t="s">
        <v>12</v>
      </c>
      <c r="E28" t="s">
        <v>34</v>
      </c>
      <c r="F28" t="s">
        <v>19</v>
      </c>
      <c r="G28" t="s">
        <v>38</v>
      </c>
      <c r="H28" t="s">
        <v>15</v>
      </c>
      <c r="I28" t="s">
        <v>33</v>
      </c>
      <c r="J28" t="s">
        <v>53</v>
      </c>
    </row>
    <row r="29" spans="1:10" x14ac:dyDescent="0.2">
      <c r="A29">
        <v>45680.406850486106</v>
      </c>
      <c r="B29" t="s">
        <v>54</v>
      </c>
      <c r="C29" t="s">
        <v>11</v>
      </c>
      <c r="D29" t="s">
        <v>22</v>
      </c>
      <c r="E29" t="s">
        <v>13</v>
      </c>
      <c r="F29" t="s">
        <v>49</v>
      </c>
      <c r="G29" t="s">
        <v>38</v>
      </c>
      <c r="H29" t="s">
        <v>23</v>
      </c>
      <c r="I29" t="s">
        <v>55</v>
      </c>
    </row>
    <row r="30" spans="1:10" x14ac:dyDescent="0.2">
      <c r="A30">
        <v>45680.431812222218</v>
      </c>
      <c r="B30" t="s">
        <v>17</v>
      </c>
      <c r="C30" t="s">
        <v>11</v>
      </c>
      <c r="D30" t="s">
        <v>22</v>
      </c>
      <c r="E30" t="s">
        <v>13</v>
      </c>
      <c r="F30" t="s">
        <v>38</v>
      </c>
      <c r="G30" t="s">
        <v>38</v>
      </c>
      <c r="H30" t="s">
        <v>15</v>
      </c>
      <c r="I30" t="s">
        <v>56</v>
      </c>
      <c r="J30" t="s">
        <v>57</v>
      </c>
    </row>
    <row r="31" spans="1:10" x14ac:dyDescent="0.2">
      <c r="A31">
        <v>45680.441968368061</v>
      </c>
      <c r="B31" t="s">
        <v>17</v>
      </c>
      <c r="C31" t="s">
        <v>11</v>
      </c>
      <c r="D31" t="s">
        <v>22</v>
      </c>
      <c r="E31" t="s">
        <v>13</v>
      </c>
      <c r="F31" t="s">
        <v>38</v>
      </c>
      <c r="G31" t="s">
        <v>38</v>
      </c>
      <c r="H31" t="s">
        <v>15</v>
      </c>
      <c r="I31" t="s">
        <v>58</v>
      </c>
    </row>
    <row r="32" spans="1:10" x14ac:dyDescent="0.2">
      <c r="A32">
        <v>45680.48148751157</v>
      </c>
      <c r="B32" t="s">
        <v>17</v>
      </c>
      <c r="C32" t="s">
        <v>11</v>
      </c>
      <c r="D32" t="s">
        <v>12</v>
      </c>
      <c r="E32" t="s">
        <v>13</v>
      </c>
      <c r="F32" t="s">
        <v>38</v>
      </c>
      <c r="G32" t="s">
        <v>38</v>
      </c>
      <c r="H32" t="s">
        <v>23</v>
      </c>
      <c r="I32" t="s">
        <v>59</v>
      </c>
    </row>
    <row r="33" spans="1:10" x14ac:dyDescent="0.2">
      <c r="A33">
        <v>45680.565484942126</v>
      </c>
      <c r="B33" t="s">
        <v>54</v>
      </c>
      <c r="C33" t="s">
        <v>11</v>
      </c>
      <c r="D33" t="s">
        <v>22</v>
      </c>
      <c r="E33" t="s">
        <v>31</v>
      </c>
      <c r="F33" t="s">
        <v>38</v>
      </c>
      <c r="G33" t="s">
        <v>38</v>
      </c>
      <c r="H33" t="s">
        <v>23</v>
      </c>
      <c r="I33" t="s">
        <v>33</v>
      </c>
    </row>
    <row r="34" spans="1:10" x14ac:dyDescent="0.2">
      <c r="A34">
        <v>45680.618683113426</v>
      </c>
      <c r="B34" t="s">
        <v>54</v>
      </c>
      <c r="C34" t="s">
        <v>60</v>
      </c>
      <c r="D34" t="s">
        <v>12</v>
      </c>
      <c r="E34" t="s">
        <v>34</v>
      </c>
      <c r="F34" t="s">
        <v>49</v>
      </c>
      <c r="G34" t="s">
        <v>13</v>
      </c>
      <c r="I34" t="s">
        <v>61</v>
      </c>
      <c r="J34" t="s">
        <v>62</v>
      </c>
    </row>
    <row r="35" spans="1:10" x14ac:dyDescent="0.2">
      <c r="A35">
        <v>45680.830201423611</v>
      </c>
      <c r="B35" t="s">
        <v>17</v>
      </c>
      <c r="C35" t="s">
        <v>11</v>
      </c>
      <c r="D35" t="s">
        <v>22</v>
      </c>
      <c r="E35" t="s">
        <v>13</v>
      </c>
      <c r="F35" t="s">
        <v>19</v>
      </c>
      <c r="G35" t="s">
        <v>41</v>
      </c>
      <c r="H35" t="s">
        <v>23</v>
      </c>
      <c r="I35" t="s">
        <v>33</v>
      </c>
      <c r="J35" t="s">
        <v>63</v>
      </c>
    </row>
    <row r="36" spans="1:10" x14ac:dyDescent="0.2">
      <c r="A36">
        <v>45681.375439791664</v>
      </c>
      <c r="B36" t="s">
        <v>40</v>
      </c>
      <c r="C36" t="s">
        <v>21</v>
      </c>
      <c r="D36" t="s">
        <v>22</v>
      </c>
      <c r="E36" t="s">
        <v>13</v>
      </c>
      <c r="F36" t="s">
        <v>38</v>
      </c>
      <c r="G36" t="s">
        <v>38</v>
      </c>
      <c r="H36" t="s">
        <v>15</v>
      </c>
      <c r="I36" t="s">
        <v>64</v>
      </c>
    </row>
    <row r="37" spans="1:10" x14ac:dyDescent="0.2">
      <c r="A37">
        <v>45681.725939340278</v>
      </c>
      <c r="B37" t="s">
        <v>10</v>
      </c>
      <c r="C37" t="s">
        <v>11</v>
      </c>
      <c r="D37" t="s">
        <v>12</v>
      </c>
      <c r="E37" t="s">
        <v>13</v>
      </c>
      <c r="F37" t="s">
        <v>19</v>
      </c>
      <c r="G37" t="s">
        <v>41</v>
      </c>
      <c r="H37" t="s">
        <v>15</v>
      </c>
      <c r="I37" t="s">
        <v>65</v>
      </c>
    </row>
    <row r="38" spans="1:10" x14ac:dyDescent="0.2">
      <c r="A38">
        <v>45681.922197743057</v>
      </c>
      <c r="B38" t="s">
        <v>10</v>
      </c>
      <c r="C38" t="s">
        <v>11</v>
      </c>
      <c r="D38" t="s">
        <v>12</v>
      </c>
      <c r="E38" t="s">
        <v>31</v>
      </c>
      <c r="F38" t="s">
        <v>49</v>
      </c>
      <c r="G38" t="s">
        <v>13</v>
      </c>
    </row>
    <row r="39" spans="1:10" x14ac:dyDescent="0.2">
      <c r="A39">
        <v>45682.499760752311</v>
      </c>
      <c r="B39" t="s">
        <v>40</v>
      </c>
      <c r="C39" t="s">
        <v>11</v>
      </c>
      <c r="D39" t="s">
        <v>13</v>
      </c>
      <c r="E39" t="s">
        <v>13</v>
      </c>
      <c r="F39" t="s">
        <v>19</v>
      </c>
      <c r="G39" t="s">
        <v>13</v>
      </c>
      <c r="I39" t="s">
        <v>33</v>
      </c>
    </row>
    <row r="40" spans="1:10" x14ac:dyDescent="0.2">
      <c r="A40">
        <v>45683.328517453701</v>
      </c>
      <c r="B40" t="s">
        <v>40</v>
      </c>
      <c r="C40" t="s">
        <v>11</v>
      </c>
      <c r="D40" t="s">
        <v>12</v>
      </c>
      <c r="E40" t="s">
        <v>13</v>
      </c>
      <c r="F40" t="s">
        <v>38</v>
      </c>
      <c r="G40" t="s">
        <v>13</v>
      </c>
      <c r="I40" t="s">
        <v>66</v>
      </c>
    </row>
    <row r="41" spans="1:10" x14ac:dyDescent="0.2">
      <c r="A41">
        <v>45684.567461863422</v>
      </c>
      <c r="B41" t="s">
        <v>40</v>
      </c>
      <c r="C41" t="s">
        <v>11</v>
      </c>
      <c r="D41" t="s">
        <v>22</v>
      </c>
      <c r="E41" t="s">
        <v>13</v>
      </c>
      <c r="F41" t="s">
        <v>38</v>
      </c>
      <c r="G41" t="s">
        <v>38</v>
      </c>
      <c r="H41" t="s">
        <v>15</v>
      </c>
      <c r="I41" t="s">
        <v>67</v>
      </c>
    </row>
    <row r="42" spans="1:10" x14ac:dyDescent="0.2">
      <c r="A42">
        <v>45686.663391539347</v>
      </c>
      <c r="B42" t="s">
        <v>40</v>
      </c>
      <c r="C42" t="s">
        <v>11</v>
      </c>
      <c r="D42" t="s">
        <v>13</v>
      </c>
      <c r="E42" t="s">
        <v>13</v>
      </c>
      <c r="F42" t="s">
        <v>38</v>
      </c>
      <c r="G42" t="s">
        <v>38</v>
      </c>
      <c r="H42" t="s">
        <v>15</v>
      </c>
      <c r="I42" t="s">
        <v>68</v>
      </c>
    </row>
    <row r="43" spans="1:10" x14ac:dyDescent="0.2">
      <c r="A43">
        <v>45686.677430983793</v>
      </c>
      <c r="B43" t="s">
        <v>17</v>
      </c>
      <c r="C43" t="s">
        <v>11</v>
      </c>
      <c r="D43" t="s">
        <v>22</v>
      </c>
      <c r="E43" t="s">
        <v>13</v>
      </c>
      <c r="F43" t="s">
        <v>19</v>
      </c>
      <c r="G43" t="s">
        <v>13</v>
      </c>
      <c r="I43" t="s">
        <v>27</v>
      </c>
    </row>
    <row r="44" spans="1:10" x14ac:dyDescent="0.2">
      <c r="A44">
        <v>45686.707806087958</v>
      </c>
      <c r="B44" t="s">
        <v>40</v>
      </c>
      <c r="C44" t="s">
        <v>11</v>
      </c>
      <c r="D44" t="s">
        <v>12</v>
      </c>
      <c r="E44" t="s">
        <v>13</v>
      </c>
      <c r="F44" t="s">
        <v>19</v>
      </c>
      <c r="G44" t="s">
        <v>13</v>
      </c>
      <c r="I44" t="s">
        <v>66</v>
      </c>
    </row>
    <row r="45" spans="1:10" x14ac:dyDescent="0.2">
      <c r="A45">
        <v>45687.43021337963</v>
      </c>
      <c r="B45" t="s">
        <v>10</v>
      </c>
      <c r="C45" t="s">
        <v>21</v>
      </c>
      <c r="D45" t="s">
        <v>12</v>
      </c>
      <c r="E45" t="s">
        <v>13</v>
      </c>
      <c r="F45" t="s">
        <v>19</v>
      </c>
      <c r="G45" t="s">
        <v>38</v>
      </c>
      <c r="H45" t="s">
        <v>15</v>
      </c>
    </row>
    <row r="46" spans="1:10" x14ac:dyDescent="0.2">
      <c r="A46">
        <v>45692.384191446763</v>
      </c>
      <c r="B46" t="s">
        <v>40</v>
      </c>
      <c r="C46" t="s">
        <v>21</v>
      </c>
      <c r="D46" t="s">
        <v>12</v>
      </c>
      <c r="E46" t="s">
        <v>13</v>
      </c>
      <c r="F46" t="s">
        <v>19</v>
      </c>
      <c r="G46" t="s">
        <v>38</v>
      </c>
      <c r="H46" t="s">
        <v>15</v>
      </c>
      <c r="I46" t="s">
        <v>24</v>
      </c>
    </row>
    <row r="47" spans="1:10" x14ac:dyDescent="0.2">
      <c r="A47">
        <v>45695.495939976856</v>
      </c>
      <c r="B47" t="s">
        <v>10</v>
      </c>
      <c r="C47" t="s">
        <v>11</v>
      </c>
      <c r="D47" t="s">
        <v>12</v>
      </c>
      <c r="E47" t="s">
        <v>13</v>
      </c>
      <c r="F47" t="s">
        <v>38</v>
      </c>
      <c r="G47" t="s">
        <v>38</v>
      </c>
      <c r="H47" t="s">
        <v>23</v>
      </c>
      <c r="I47" t="s">
        <v>29</v>
      </c>
    </row>
    <row r="48" spans="1:10" x14ac:dyDescent="0.2">
      <c r="A48">
        <v>45699.86394210648</v>
      </c>
      <c r="B48" t="s">
        <v>40</v>
      </c>
      <c r="C48" t="s">
        <v>11</v>
      </c>
      <c r="D48" t="s">
        <v>12</v>
      </c>
      <c r="E48" t="s">
        <v>13</v>
      </c>
      <c r="F48" t="s">
        <v>38</v>
      </c>
      <c r="G48" t="s">
        <v>38</v>
      </c>
      <c r="H48" t="s">
        <v>15</v>
      </c>
      <c r="I48" t="s">
        <v>69</v>
      </c>
    </row>
    <row r="49" spans="1:9" x14ac:dyDescent="0.2">
      <c r="A49">
        <v>45738.551559270833</v>
      </c>
      <c r="B49" t="s">
        <v>54</v>
      </c>
      <c r="C49" t="s">
        <v>11</v>
      </c>
      <c r="D49" t="s">
        <v>22</v>
      </c>
      <c r="E49" t="s">
        <v>13</v>
      </c>
      <c r="F49" t="s">
        <v>19</v>
      </c>
      <c r="G49" t="s">
        <v>38</v>
      </c>
      <c r="H49" t="s">
        <v>15</v>
      </c>
      <c r="I49"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F053-4495-4DFB-BF9C-E75A5AC1CAC2}">
  <dimension ref="A1:Y49"/>
  <sheetViews>
    <sheetView topLeftCell="M1" workbookViewId="0">
      <selection activeCell="D2" sqref="D2"/>
    </sheetView>
  </sheetViews>
  <sheetFormatPr defaultRowHeight="12.75" x14ac:dyDescent="0.2"/>
  <cols>
    <col min="1" max="1" width="12" bestFit="1" customWidth="1"/>
    <col min="2" max="2" width="18.85546875" customWidth="1"/>
    <col min="3" max="3" width="22.140625" bestFit="1" customWidth="1"/>
    <col min="4" max="4" width="7.42578125" bestFit="1" customWidth="1"/>
    <col min="5" max="5" width="20.140625" bestFit="1" customWidth="1"/>
    <col min="6" max="8" width="7.5703125" bestFit="1" customWidth="1"/>
    <col min="9" max="9" width="15.5703125" bestFit="1" customWidth="1"/>
    <col min="10" max="10" width="50" bestFit="1" customWidth="1"/>
    <col min="11" max="11" width="7.5703125" bestFit="1" customWidth="1"/>
    <col min="12" max="12" width="12" bestFit="1" customWidth="1"/>
    <col min="13" max="13" width="30" bestFit="1" customWidth="1"/>
    <col min="14" max="14" width="15.42578125" bestFit="1" customWidth="1"/>
    <col min="15" max="15" width="20.85546875" bestFit="1" customWidth="1"/>
    <col min="16" max="16" width="44.140625" bestFit="1" customWidth="1"/>
    <col min="17" max="17" width="12.5703125" bestFit="1" customWidth="1"/>
    <col min="18" max="18" width="15.85546875" bestFit="1" customWidth="1"/>
    <col min="19" max="19" width="17.5703125" bestFit="1" customWidth="1"/>
    <col min="20" max="20" width="40.140625" bestFit="1" customWidth="1"/>
    <col min="21" max="22" width="40.140625" customWidth="1"/>
    <col min="23" max="23" width="16.42578125" bestFit="1" customWidth="1"/>
    <col min="24" max="24" width="20.42578125" bestFit="1" customWidth="1"/>
    <col min="25" max="25" width="255.7109375" bestFit="1" customWidth="1"/>
  </cols>
  <sheetData>
    <row r="1" spans="1:25" x14ac:dyDescent="0.2">
      <c r="A1" t="s">
        <v>81</v>
      </c>
      <c r="B1" s="1" t="s">
        <v>80</v>
      </c>
      <c r="C1" t="s">
        <v>71</v>
      </c>
      <c r="D1" s="12" t="s">
        <v>90</v>
      </c>
      <c r="E1" t="s">
        <v>72</v>
      </c>
      <c r="F1" s="13" t="s">
        <v>87</v>
      </c>
      <c r="G1" s="13" t="s">
        <v>88</v>
      </c>
      <c r="H1" s="13" t="s">
        <v>89</v>
      </c>
      <c r="I1" s="13" t="s">
        <v>86</v>
      </c>
      <c r="J1" t="s">
        <v>83</v>
      </c>
      <c r="K1" t="s">
        <v>73</v>
      </c>
      <c r="L1" t="s">
        <v>82</v>
      </c>
      <c r="M1" t="s">
        <v>74</v>
      </c>
      <c r="N1" t="s">
        <v>84</v>
      </c>
      <c r="O1" t="s">
        <v>85</v>
      </c>
      <c r="P1" t="s">
        <v>75</v>
      </c>
      <c r="Q1" s="12" t="s">
        <v>75</v>
      </c>
      <c r="R1" s="12" t="s">
        <v>91</v>
      </c>
      <c r="S1" s="12" t="s">
        <v>92</v>
      </c>
      <c r="T1" t="s">
        <v>76</v>
      </c>
      <c r="U1" s="12" t="s">
        <v>76</v>
      </c>
      <c r="V1" s="12" t="s">
        <v>93</v>
      </c>
      <c r="W1" t="s">
        <v>77</v>
      </c>
      <c r="X1" t="s">
        <v>78</v>
      </c>
      <c r="Y1" t="s">
        <v>79</v>
      </c>
    </row>
    <row r="2" spans="1:25" ht="14.25" x14ac:dyDescent="0.2">
      <c r="A2">
        <v>45678.744763518524</v>
      </c>
      <c r="B2" s="4">
        <v>45678.744763518524</v>
      </c>
      <c r="C2" t="s">
        <v>10</v>
      </c>
      <c r="D2" s="15" t="str">
        <f>IF(LEFT(C2, 1) = "L", 0, LEFT(C2, 1))</f>
        <v>3</v>
      </c>
      <c r="E2" t="s">
        <v>11</v>
      </c>
      <c r="F2" s="14" t="b">
        <f>IF(ISERR(SEARCH(F$1, $E2)),FALSE,TRUE)</f>
        <v>0</v>
      </c>
      <c r="G2" s="14" t="b">
        <f t="shared" ref="G2:I17" si="0">IF(ISERR(SEARCH(G$1, $E2)),FALSE,TRUE)</f>
        <v>1</v>
      </c>
      <c r="H2" s="14" t="b">
        <f t="shared" si="0"/>
        <v>0</v>
      </c>
      <c r="I2" s="14" t="b">
        <f t="shared" si="0"/>
        <v>0</v>
      </c>
      <c r="J2" t="s">
        <v>12</v>
      </c>
      <c r="K2" t="b">
        <f>IF(LEFT(J2, 3) = "Yes", TRUE)</f>
        <v>1</v>
      </c>
      <c r="L2" t="b">
        <f>IF(LEFT(J2,14) = "Yes, and I pay", TRUE)</f>
        <v>1</v>
      </c>
      <c r="M2" t="s">
        <v>13</v>
      </c>
      <c r="N2" t="b">
        <f>IF(LEFT(M2,3) = "Yes", TRUE)</f>
        <v>0</v>
      </c>
      <c r="O2" t="str" cm="1">
        <f t="array" ref="O2">_xlfn.SWITCH(TRUE, ISNUMBER(SEARCH("sleep", M2)), "sleep", ISNUMBER(SEARCH("exercising", M2)), "exercise", ISNUMBER(SEARCH("always", M2)), "always", "never")</f>
        <v>never</v>
      </c>
      <c r="P2" t="s">
        <v>14</v>
      </c>
      <c r="Q2" t="b">
        <f>IF(LEFT(P2, 3) = "Yes", TRUE, FALSE)</f>
        <v>1</v>
      </c>
      <c r="R2" t="b">
        <f>IF(LEFT(P2, 11) = "No, I'm not", FALSE, TRUE)</f>
        <v>1</v>
      </c>
      <c r="S2" t="b">
        <f>IF(LEFT(P2, 11) = "No, I don't", TRUE, FALSE)</f>
        <v>0</v>
      </c>
      <c r="T2" t="s">
        <v>14</v>
      </c>
      <c r="U2" t="b">
        <f>IF(LEFT(T2, 3) = "Yes", TRUE, FALSE)</f>
        <v>1</v>
      </c>
      <c r="V2" t="b">
        <f>IF(ISERR(SEARCH("own", T2)), FALSE, TRUE)</f>
        <v>1</v>
      </c>
      <c r="W2" t="s">
        <v>15</v>
      </c>
      <c r="X2" t="s">
        <v>16</v>
      </c>
    </row>
    <row r="3" spans="1:25" ht="14.25" x14ac:dyDescent="0.2">
      <c r="A3">
        <v>45678.757681898147</v>
      </c>
      <c r="B3" s="7">
        <v>45678.757681898147</v>
      </c>
      <c r="C3" t="s">
        <v>17</v>
      </c>
      <c r="D3" s="15" t="str">
        <f t="shared" ref="D3:D49" si="1">IF(LEFT(C3, 1) = "L", 0, LEFT(C3, 1))</f>
        <v>1</v>
      </c>
      <c r="E3" t="s">
        <v>11</v>
      </c>
      <c r="F3" s="14" t="b">
        <f t="shared" ref="F3:I49" si="2">IF(ISERR(SEARCH(F$1, $E3)),FALSE,TRUE)</f>
        <v>0</v>
      </c>
      <c r="G3" s="14" t="b">
        <f t="shared" si="0"/>
        <v>1</v>
      </c>
      <c r="H3" s="14" t="b">
        <f t="shared" si="0"/>
        <v>0</v>
      </c>
      <c r="I3" s="14" t="b">
        <f t="shared" si="0"/>
        <v>0</v>
      </c>
      <c r="J3" t="s">
        <v>12</v>
      </c>
      <c r="K3" t="b">
        <f t="shared" ref="K3:K49" si="3">IF(LEFT(J3, 3) = "Yes", TRUE)</f>
        <v>1</v>
      </c>
      <c r="L3" t="b">
        <f t="shared" ref="L3:L49" si="4">IF(LEFT(J3,14) = "Yes, and I pay", TRUE)</f>
        <v>1</v>
      </c>
      <c r="M3" t="s">
        <v>18</v>
      </c>
      <c r="N3" t="b">
        <f t="shared" ref="N3:N49" si="5">IF(LEFT(M3,3) = "Yes", TRUE)</f>
        <v>1</v>
      </c>
      <c r="O3" t="str" cm="1">
        <f t="array" ref="O3">_xlfn.SWITCH(TRUE, ISNUMBER(SEARCH("sleep", M3)), "sleep", ISNUMBER(SEARCH("exercising", M3)), "exercise", ISNUMBER(SEARCH("always", M3)), "always", "never")</f>
        <v>sleep</v>
      </c>
      <c r="P3" t="s">
        <v>19</v>
      </c>
      <c r="Q3" t="b">
        <f t="shared" ref="Q3:Q49" si="6">IF(LEFT(P3, 3) = "Yes", TRUE, FALSE)</f>
        <v>0</v>
      </c>
      <c r="R3" t="b">
        <f t="shared" ref="R3:R49" si="7">IF(LEFT(P3, 11) = "No, I'm not", FALSE, TRUE)</f>
        <v>0</v>
      </c>
      <c r="S3" t="b">
        <f t="shared" ref="S3:S49" si="8">IF(LEFT(P3, 11) = "No, I don't", TRUE, FALSE)</f>
        <v>0</v>
      </c>
      <c r="T3" t="s">
        <v>14</v>
      </c>
      <c r="U3" t="b">
        <f t="shared" ref="U3:U49" si="9">IF(LEFT(T3, 3) = "Yes", TRUE, FALSE)</f>
        <v>1</v>
      </c>
      <c r="V3" t="b">
        <f t="shared" ref="V3:V49" si="10">IF(ISERR(SEARCH("own", T3)), FALSE, TRUE)</f>
        <v>1</v>
      </c>
      <c r="W3" t="s">
        <v>15</v>
      </c>
      <c r="X3" t="s">
        <v>20</v>
      </c>
    </row>
    <row r="4" spans="1:25" ht="14.25" x14ac:dyDescent="0.2">
      <c r="A4">
        <v>45678.786606493057</v>
      </c>
      <c r="B4" s="4">
        <v>45678.786606493057</v>
      </c>
      <c r="C4" t="s">
        <v>17</v>
      </c>
      <c r="D4" s="15" t="str">
        <f t="shared" si="1"/>
        <v>1</v>
      </c>
      <c r="E4" t="s">
        <v>21</v>
      </c>
      <c r="F4" s="14" t="b">
        <f t="shared" si="2"/>
        <v>1</v>
      </c>
      <c r="G4" s="14" t="b">
        <f t="shared" si="0"/>
        <v>0</v>
      </c>
      <c r="H4" s="14" t="b">
        <f t="shared" si="0"/>
        <v>0</v>
      </c>
      <c r="I4" s="14" t="b">
        <f t="shared" si="0"/>
        <v>0</v>
      </c>
      <c r="J4" t="s">
        <v>22</v>
      </c>
      <c r="K4" t="b">
        <f t="shared" si="3"/>
        <v>1</v>
      </c>
      <c r="L4" t="b">
        <f t="shared" si="4"/>
        <v>0</v>
      </c>
      <c r="M4" t="s">
        <v>13</v>
      </c>
      <c r="N4" t="b">
        <f t="shared" si="5"/>
        <v>0</v>
      </c>
      <c r="O4" t="str" cm="1">
        <f t="array" ref="O4">_xlfn.SWITCH(TRUE, ISNUMBER(SEARCH("sleep", M4)), "sleep", ISNUMBER(SEARCH("exercising", M4)), "exercise", ISNUMBER(SEARCH("always", M4)), "always", "never")</f>
        <v>never</v>
      </c>
      <c r="P4" t="s">
        <v>14</v>
      </c>
      <c r="Q4" t="b">
        <f t="shared" si="6"/>
        <v>1</v>
      </c>
      <c r="R4" t="b">
        <f t="shared" si="7"/>
        <v>1</v>
      </c>
      <c r="S4" t="b">
        <f t="shared" si="8"/>
        <v>0</v>
      </c>
      <c r="T4" t="s">
        <v>14</v>
      </c>
      <c r="U4" t="b">
        <f t="shared" si="9"/>
        <v>1</v>
      </c>
      <c r="V4" t="b">
        <f t="shared" si="10"/>
        <v>1</v>
      </c>
      <c r="W4" t="s">
        <v>23</v>
      </c>
      <c r="X4" t="s">
        <v>24</v>
      </c>
      <c r="Y4" t="s">
        <v>13</v>
      </c>
    </row>
    <row r="5" spans="1:25" ht="14.25" x14ac:dyDescent="0.2">
      <c r="A5">
        <v>45678.801338495367</v>
      </c>
      <c r="B5" s="7">
        <v>45678.801338495367</v>
      </c>
      <c r="C5" t="s">
        <v>10</v>
      </c>
      <c r="D5" s="15" t="str">
        <f t="shared" si="1"/>
        <v>3</v>
      </c>
      <c r="E5" t="s">
        <v>11</v>
      </c>
      <c r="F5" s="14" t="b">
        <f t="shared" si="2"/>
        <v>0</v>
      </c>
      <c r="G5" s="14" t="b">
        <f t="shared" si="0"/>
        <v>1</v>
      </c>
      <c r="H5" s="14" t="b">
        <f t="shared" si="0"/>
        <v>0</v>
      </c>
      <c r="I5" s="14" t="b">
        <f t="shared" si="0"/>
        <v>0</v>
      </c>
      <c r="J5" t="s">
        <v>22</v>
      </c>
      <c r="K5" t="b">
        <f t="shared" si="3"/>
        <v>1</v>
      </c>
      <c r="L5" t="b">
        <f t="shared" si="4"/>
        <v>0</v>
      </c>
      <c r="M5" t="s">
        <v>13</v>
      </c>
      <c r="N5" t="b">
        <f t="shared" si="5"/>
        <v>0</v>
      </c>
      <c r="O5" t="str" cm="1">
        <f t="array" ref="O5">_xlfn.SWITCH(TRUE, ISNUMBER(SEARCH("sleep", M5)), "sleep", ISNUMBER(SEARCH("exercising", M5)), "exercise", ISNUMBER(SEARCH("always", M5)), "always", "never")</f>
        <v>never</v>
      </c>
      <c r="P5" t="s">
        <v>14</v>
      </c>
      <c r="Q5" t="b">
        <f t="shared" si="6"/>
        <v>1</v>
      </c>
      <c r="R5" t="b">
        <f t="shared" si="7"/>
        <v>1</v>
      </c>
      <c r="S5" t="b">
        <f t="shared" si="8"/>
        <v>0</v>
      </c>
      <c r="T5" t="s">
        <v>14</v>
      </c>
      <c r="U5" t="b">
        <f t="shared" si="9"/>
        <v>1</v>
      </c>
      <c r="V5" t="b">
        <f t="shared" si="10"/>
        <v>1</v>
      </c>
      <c r="W5" t="s">
        <v>15</v>
      </c>
      <c r="X5" t="s">
        <v>25</v>
      </c>
    </row>
    <row r="6" spans="1:25" ht="14.25" x14ac:dyDescent="0.2">
      <c r="A6">
        <v>45678.890740416668</v>
      </c>
      <c r="B6" s="4">
        <v>45678.890740416668</v>
      </c>
      <c r="C6" t="s">
        <v>17</v>
      </c>
      <c r="D6" s="15" t="str">
        <f t="shared" si="1"/>
        <v>1</v>
      </c>
      <c r="E6" t="s">
        <v>11</v>
      </c>
      <c r="F6" s="14" t="b">
        <f t="shared" si="2"/>
        <v>0</v>
      </c>
      <c r="G6" s="14" t="b">
        <f t="shared" si="0"/>
        <v>1</v>
      </c>
      <c r="H6" s="14" t="b">
        <f t="shared" si="0"/>
        <v>0</v>
      </c>
      <c r="I6" s="14" t="b">
        <f t="shared" si="0"/>
        <v>0</v>
      </c>
      <c r="J6" t="s">
        <v>22</v>
      </c>
      <c r="K6" t="b">
        <f t="shared" si="3"/>
        <v>1</v>
      </c>
      <c r="L6" t="b">
        <f t="shared" si="4"/>
        <v>0</v>
      </c>
      <c r="M6" t="s">
        <v>13</v>
      </c>
      <c r="N6" t="b">
        <f t="shared" si="5"/>
        <v>0</v>
      </c>
      <c r="O6" t="str" cm="1">
        <f t="array" ref="O6">_xlfn.SWITCH(TRUE, ISNUMBER(SEARCH("sleep", M6)), "sleep", ISNUMBER(SEARCH("exercising", M6)), "exercise", ISNUMBER(SEARCH("always", M6)), "always", "never")</f>
        <v>never</v>
      </c>
      <c r="P6" t="s">
        <v>19</v>
      </c>
      <c r="Q6" t="b">
        <f t="shared" si="6"/>
        <v>0</v>
      </c>
      <c r="R6" t="b">
        <f t="shared" si="7"/>
        <v>0</v>
      </c>
      <c r="S6" t="b">
        <f t="shared" si="8"/>
        <v>0</v>
      </c>
      <c r="T6" t="s">
        <v>26</v>
      </c>
      <c r="U6" t="b">
        <f t="shared" si="9"/>
        <v>1</v>
      </c>
      <c r="V6" t="b">
        <f t="shared" si="10"/>
        <v>0</v>
      </c>
      <c r="W6" t="s">
        <v>23</v>
      </c>
      <c r="X6" t="s">
        <v>27</v>
      </c>
      <c r="Y6" t="s">
        <v>28</v>
      </c>
    </row>
    <row r="7" spans="1:25" ht="14.25" x14ac:dyDescent="0.2">
      <c r="A7">
        <v>45678.913685497682</v>
      </c>
      <c r="B7" s="7">
        <v>45678.913685497682</v>
      </c>
      <c r="C7" t="s">
        <v>17</v>
      </c>
      <c r="D7" s="15" t="str">
        <f t="shared" si="1"/>
        <v>1</v>
      </c>
      <c r="E7" t="s">
        <v>11</v>
      </c>
      <c r="F7" s="14" t="b">
        <f t="shared" si="2"/>
        <v>0</v>
      </c>
      <c r="G7" s="14" t="b">
        <f t="shared" si="0"/>
        <v>1</v>
      </c>
      <c r="H7" s="14" t="b">
        <f t="shared" si="0"/>
        <v>0</v>
      </c>
      <c r="I7" s="14" t="b">
        <f t="shared" si="0"/>
        <v>0</v>
      </c>
      <c r="J7" t="s">
        <v>12</v>
      </c>
      <c r="K7" t="b">
        <f t="shared" si="3"/>
        <v>1</v>
      </c>
      <c r="L7" t="b">
        <f t="shared" si="4"/>
        <v>1</v>
      </c>
      <c r="M7" t="s">
        <v>13</v>
      </c>
      <c r="N7" t="b">
        <f t="shared" si="5"/>
        <v>0</v>
      </c>
      <c r="O7" t="str" cm="1">
        <f t="array" ref="O7">_xlfn.SWITCH(TRUE, ISNUMBER(SEARCH("sleep", M7)), "sleep", ISNUMBER(SEARCH("exercising", M7)), "exercise", ISNUMBER(SEARCH("always", M7)), "always", "never")</f>
        <v>never</v>
      </c>
      <c r="P7" t="s">
        <v>14</v>
      </c>
      <c r="Q7" t="b">
        <f t="shared" si="6"/>
        <v>1</v>
      </c>
      <c r="R7" t="b">
        <f t="shared" si="7"/>
        <v>1</v>
      </c>
      <c r="S7" t="b">
        <f t="shared" si="8"/>
        <v>0</v>
      </c>
      <c r="T7" t="s">
        <v>26</v>
      </c>
      <c r="U7" t="b">
        <f t="shared" si="9"/>
        <v>1</v>
      </c>
      <c r="V7" t="b">
        <f t="shared" si="10"/>
        <v>0</v>
      </c>
      <c r="W7" t="s">
        <v>15</v>
      </c>
      <c r="X7" t="s">
        <v>29</v>
      </c>
    </row>
    <row r="8" spans="1:25" ht="14.25" x14ac:dyDescent="0.2">
      <c r="A8">
        <v>45679.445971782407</v>
      </c>
      <c r="B8" s="4">
        <v>45679.445971782407</v>
      </c>
      <c r="C8" t="s">
        <v>10</v>
      </c>
      <c r="D8" s="15" t="str">
        <f t="shared" si="1"/>
        <v>3</v>
      </c>
      <c r="E8" t="s">
        <v>21</v>
      </c>
      <c r="F8" s="14" t="b">
        <f t="shared" si="2"/>
        <v>1</v>
      </c>
      <c r="G8" s="14" t="b">
        <f t="shared" si="0"/>
        <v>0</v>
      </c>
      <c r="H8" s="14" t="b">
        <f t="shared" si="0"/>
        <v>0</v>
      </c>
      <c r="I8" s="14" t="b">
        <f t="shared" si="0"/>
        <v>0</v>
      </c>
      <c r="J8" t="s">
        <v>12</v>
      </c>
      <c r="K8" t="b">
        <f t="shared" si="3"/>
        <v>1</v>
      </c>
      <c r="L8" t="b">
        <f t="shared" si="4"/>
        <v>1</v>
      </c>
      <c r="M8" t="s">
        <v>13</v>
      </c>
      <c r="N8" t="b">
        <f t="shared" si="5"/>
        <v>0</v>
      </c>
      <c r="O8" t="str" cm="1">
        <f t="array" ref="O8">_xlfn.SWITCH(TRUE, ISNUMBER(SEARCH("sleep", M8)), "sleep", ISNUMBER(SEARCH("exercising", M8)), "exercise", ISNUMBER(SEARCH("always", M8)), "always", "never")</f>
        <v>never</v>
      </c>
      <c r="P8" t="s">
        <v>30</v>
      </c>
      <c r="Q8" t="b">
        <f t="shared" si="6"/>
        <v>0</v>
      </c>
      <c r="R8" t="b">
        <f t="shared" si="7"/>
        <v>1</v>
      </c>
      <c r="S8" t="b">
        <f t="shared" si="8"/>
        <v>1</v>
      </c>
      <c r="T8" t="s">
        <v>13</v>
      </c>
      <c r="U8" t="b">
        <f t="shared" si="9"/>
        <v>0</v>
      </c>
      <c r="V8" t="b">
        <f t="shared" si="10"/>
        <v>0</v>
      </c>
      <c r="W8" t="s">
        <v>15</v>
      </c>
    </row>
    <row r="9" spans="1:25" ht="14.25" x14ac:dyDescent="0.2">
      <c r="A9">
        <v>45679.619907847227</v>
      </c>
      <c r="B9" s="7">
        <v>45679.619907847227</v>
      </c>
      <c r="C9" t="s">
        <v>10</v>
      </c>
      <c r="D9" s="15" t="str">
        <f t="shared" si="1"/>
        <v>3</v>
      </c>
      <c r="E9" t="s">
        <v>11</v>
      </c>
      <c r="F9" s="14" t="b">
        <f t="shared" si="2"/>
        <v>0</v>
      </c>
      <c r="G9" s="14" t="b">
        <f t="shared" si="0"/>
        <v>1</v>
      </c>
      <c r="H9" s="14" t="b">
        <f t="shared" si="0"/>
        <v>0</v>
      </c>
      <c r="I9" s="14" t="b">
        <f t="shared" si="0"/>
        <v>0</v>
      </c>
      <c r="J9" t="s">
        <v>12</v>
      </c>
      <c r="K9" t="b">
        <f t="shared" si="3"/>
        <v>1</v>
      </c>
      <c r="L9" t="b">
        <f t="shared" si="4"/>
        <v>1</v>
      </c>
      <c r="M9" t="s">
        <v>31</v>
      </c>
      <c r="N9" t="b">
        <f t="shared" si="5"/>
        <v>1</v>
      </c>
      <c r="O9" t="str" cm="1">
        <f t="array" ref="O9">_xlfn.SWITCH(TRUE, ISNUMBER(SEARCH("sleep", M9)), "sleep", ISNUMBER(SEARCH("exercising", M9)), "exercise", ISNUMBER(SEARCH("always", M9)), "always", "never")</f>
        <v>exercise</v>
      </c>
      <c r="P9" t="s">
        <v>14</v>
      </c>
      <c r="Q9" t="b">
        <f t="shared" si="6"/>
        <v>1</v>
      </c>
      <c r="R9" t="b">
        <f t="shared" si="7"/>
        <v>1</v>
      </c>
      <c r="S9" t="b">
        <f t="shared" si="8"/>
        <v>0</v>
      </c>
      <c r="T9" t="s">
        <v>26</v>
      </c>
      <c r="U9" t="b">
        <f t="shared" si="9"/>
        <v>1</v>
      </c>
      <c r="V9" t="b">
        <f t="shared" si="10"/>
        <v>0</v>
      </c>
      <c r="W9" t="s">
        <v>15</v>
      </c>
      <c r="X9" t="s">
        <v>29</v>
      </c>
    </row>
    <row r="10" spans="1:25" ht="14.25" x14ac:dyDescent="0.2">
      <c r="A10">
        <v>45679.714285671296</v>
      </c>
      <c r="B10" s="4">
        <v>45679.714285671296</v>
      </c>
      <c r="C10" t="s">
        <v>10</v>
      </c>
      <c r="D10" s="15" t="str">
        <f t="shared" si="1"/>
        <v>3</v>
      </c>
      <c r="E10" t="s">
        <v>32</v>
      </c>
      <c r="F10" s="14" t="b">
        <f t="shared" si="2"/>
        <v>1</v>
      </c>
      <c r="G10" s="14" t="b">
        <f t="shared" si="0"/>
        <v>1</v>
      </c>
      <c r="H10" s="14" t="b">
        <f t="shared" si="0"/>
        <v>0</v>
      </c>
      <c r="I10" s="14" t="b">
        <f t="shared" si="0"/>
        <v>0</v>
      </c>
      <c r="J10" t="s">
        <v>22</v>
      </c>
      <c r="K10" t="b">
        <f t="shared" si="3"/>
        <v>1</v>
      </c>
      <c r="L10" t="b">
        <f t="shared" si="4"/>
        <v>0</v>
      </c>
      <c r="M10" t="s">
        <v>13</v>
      </c>
      <c r="N10" t="b">
        <f t="shared" si="5"/>
        <v>0</v>
      </c>
      <c r="O10" t="str" cm="1">
        <f t="array" ref="O10">_xlfn.SWITCH(TRUE, ISNUMBER(SEARCH("sleep", M10)), "sleep", ISNUMBER(SEARCH("exercising", M10)), "exercise", ISNUMBER(SEARCH("always", M10)), "always", "never")</f>
        <v>never</v>
      </c>
      <c r="P10" t="s">
        <v>14</v>
      </c>
      <c r="Q10" t="b">
        <f t="shared" si="6"/>
        <v>1</v>
      </c>
      <c r="R10" t="b">
        <f t="shared" si="7"/>
        <v>1</v>
      </c>
      <c r="S10" t="b">
        <f t="shared" si="8"/>
        <v>0</v>
      </c>
      <c r="T10" t="s">
        <v>13</v>
      </c>
      <c r="U10" t="b">
        <f t="shared" si="9"/>
        <v>0</v>
      </c>
      <c r="V10" t="b">
        <f t="shared" si="10"/>
        <v>0</v>
      </c>
      <c r="W10" t="s">
        <v>15</v>
      </c>
      <c r="X10" t="s">
        <v>33</v>
      </c>
    </row>
    <row r="11" spans="1:25" ht="14.25" x14ac:dyDescent="0.2">
      <c r="A11">
        <v>45679.716964618055</v>
      </c>
      <c r="B11" s="7">
        <v>45679.716964618055</v>
      </c>
      <c r="C11" t="s">
        <v>10</v>
      </c>
      <c r="D11" s="15" t="str">
        <f t="shared" si="1"/>
        <v>3</v>
      </c>
      <c r="E11" t="s">
        <v>11</v>
      </c>
      <c r="F11" s="14" t="b">
        <f t="shared" si="2"/>
        <v>0</v>
      </c>
      <c r="G11" s="14" t="b">
        <f t="shared" si="0"/>
        <v>1</v>
      </c>
      <c r="H11" s="14" t="b">
        <f t="shared" si="0"/>
        <v>0</v>
      </c>
      <c r="I11" s="14" t="b">
        <f t="shared" si="0"/>
        <v>0</v>
      </c>
      <c r="J11" t="s">
        <v>22</v>
      </c>
      <c r="K11" t="b">
        <f t="shared" si="3"/>
        <v>1</v>
      </c>
      <c r="L11" t="b">
        <f t="shared" si="4"/>
        <v>0</v>
      </c>
      <c r="M11" t="s">
        <v>34</v>
      </c>
      <c r="N11" t="b">
        <f t="shared" si="5"/>
        <v>1</v>
      </c>
      <c r="O11" t="str" cm="1">
        <f t="array" ref="O11">_xlfn.SWITCH(TRUE, ISNUMBER(SEARCH("sleep", M11)), "sleep", ISNUMBER(SEARCH("exercising", M11)), "exercise", ISNUMBER(SEARCH("always", M11)), "always", "never")</f>
        <v>always</v>
      </c>
      <c r="P11" t="s">
        <v>26</v>
      </c>
      <c r="Q11" t="b">
        <f t="shared" si="6"/>
        <v>1</v>
      </c>
      <c r="R11" t="b">
        <f t="shared" si="7"/>
        <v>1</v>
      </c>
      <c r="S11" t="b">
        <f t="shared" si="8"/>
        <v>0</v>
      </c>
      <c r="T11" t="s">
        <v>13</v>
      </c>
      <c r="U11" t="b">
        <f t="shared" si="9"/>
        <v>0</v>
      </c>
      <c r="V11" t="b">
        <f t="shared" si="10"/>
        <v>0</v>
      </c>
      <c r="W11" t="s">
        <v>15</v>
      </c>
      <c r="X11" t="s">
        <v>35</v>
      </c>
    </row>
    <row r="12" spans="1:25" ht="14.25" x14ac:dyDescent="0.2">
      <c r="A12">
        <v>45679.719247673609</v>
      </c>
      <c r="B12" s="4">
        <v>45679.719247673609</v>
      </c>
      <c r="C12" t="s">
        <v>17</v>
      </c>
      <c r="D12" s="15" t="str">
        <f t="shared" si="1"/>
        <v>1</v>
      </c>
      <c r="E12" t="s">
        <v>11</v>
      </c>
      <c r="F12" s="14" t="b">
        <f t="shared" si="2"/>
        <v>0</v>
      </c>
      <c r="G12" s="14" t="b">
        <f t="shared" si="0"/>
        <v>1</v>
      </c>
      <c r="H12" s="14" t="b">
        <f t="shared" si="0"/>
        <v>0</v>
      </c>
      <c r="I12" s="14" t="b">
        <f t="shared" si="0"/>
        <v>0</v>
      </c>
      <c r="J12" t="s">
        <v>22</v>
      </c>
      <c r="K12" t="b">
        <f t="shared" si="3"/>
        <v>1</v>
      </c>
      <c r="L12" t="b">
        <f t="shared" si="4"/>
        <v>0</v>
      </c>
      <c r="M12" t="s">
        <v>13</v>
      </c>
      <c r="N12" t="b">
        <f t="shared" si="5"/>
        <v>0</v>
      </c>
      <c r="O12" t="str" cm="1">
        <f t="array" ref="O12">_xlfn.SWITCH(TRUE, ISNUMBER(SEARCH("sleep", M12)), "sleep", ISNUMBER(SEARCH("exercising", M12)), "exercise", ISNUMBER(SEARCH("always", M12)), "always", "never")</f>
        <v>never</v>
      </c>
      <c r="P12" t="s">
        <v>14</v>
      </c>
      <c r="Q12" t="b">
        <f t="shared" si="6"/>
        <v>1</v>
      </c>
      <c r="R12" t="b">
        <f t="shared" si="7"/>
        <v>1</v>
      </c>
      <c r="S12" t="b">
        <f t="shared" si="8"/>
        <v>0</v>
      </c>
      <c r="T12" t="s">
        <v>14</v>
      </c>
      <c r="U12" t="b">
        <f t="shared" si="9"/>
        <v>1</v>
      </c>
      <c r="V12" t="b">
        <f t="shared" si="10"/>
        <v>1</v>
      </c>
      <c r="W12" t="s">
        <v>15</v>
      </c>
      <c r="X12" t="s">
        <v>36</v>
      </c>
      <c r="Y12" t="s">
        <v>37</v>
      </c>
    </row>
    <row r="13" spans="1:25" ht="14.25" x14ac:dyDescent="0.2">
      <c r="A13">
        <v>45679.719647916667</v>
      </c>
      <c r="B13" s="7">
        <v>45679.719647916667</v>
      </c>
      <c r="C13" t="s">
        <v>17</v>
      </c>
      <c r="D13" s="15" t="str">
        <f t="shared" si="1"/>
        <v>1</v>
      </c>
      <c r="E13" t="s">
        <v>11</v>
      </c>
      <c r="F13" s="14" t="b">
        <f t="shared" si="2"/>
        <v>0</v>
      </c>
      <c r="G13" s="14" t="b">
        <f t="shared" si="0"/>
        <v>1</v>
      </c>
      <c r="H13" s="14" t="b">
        <f t="shared" si="0"/>
        <v>0</v>
      </c>
      <c r="I13" s="14" t="b">
        <f t="shared" si="0"/>
        <v>0</v>
      </c>
      <c r="J13" t="s">
        <v>12</v>
      </c>
      <c r="K13" t="b">
        <f t="shared" si="3"/>
        <v>1</v>
      </c>
      <c r="L13" t="b">
        <f t="shared" si="4"/>
        <v>1</v>
      </c>
      <c r="M13" t="s">
        <v>31</v>
      </c>
      <c r="N13" t="b">
        <f t="shared" si="5"/>
        <v>1</v>
      </c>
      <c r="O13" t="str" cm="1">
        <f t="array" ref="O13">_xlfn.SWITCH(TRUE, ISNUMBER(SEARCH("sleep", M13)), "sleep", ISNUMBER(SEARCH("exercising", M13)), "exercise", ISNUMBER(SEARCH("always", M13)), "always", "never")</f>
        <v>exercise</v>
      </c>
      <c r="P13" t="s">
        <v>30</v>
      </c>
      <c r="Q13" t="b">
        <f t="shared" si="6"/>
        <v>0</v>
      </c>
      <c r="R13" t="b">
        <f t="shared" si="7"/>
        <v>1</v>
      </c>
      <c r="S13" t="b">
        <f t="shared" si="8"/>
        <v>1</v>
      </c>
      <c r="T13" t="s">
        <v>14</v>
      </c>
      <c r="U13" t="b">
        <f t="shared" si="9"/>
        <v>1</v>
      </c>
      <c r="V13" t="b">
        <f t="shared" si="10"/>
        <v>1</v>
      </c>
      <c r="W13" t="s">
        <v>15</v>
      </c>
      <c r="X13" t="s">
        <v>33</v>
      </c>
    </row>
    <row r="14" spans="1:25" ht="14.25" x14ac:dyDescent="0.2">
      <c r="A14">
        <v>45679.73025390046</v>
      </c>
      <c r="B14" s="4">
        <v>45679.73025390046</v>
      </c>
      <c r="C14" t="s">
        <v>17</v>
      </c>
      <c r="D14" s="15" t="str">
        <f t="shared" si="1"/>
        <v>1</v>
      </c>
      <c r="E14" t="s">
        <v>11</v>
      </c>
      <c r="F14" s="14" t="b">
        <f t="shared" si="2"/>
        <v>0</v>
      </c>
      <c r="G14" s="14" t="b">
        <f t="shared" si="0"/>
        <v>1</v>
      </c>
      <c r="H14" s="14" t="b">
        <f t="shared" si="0"/>
        <v>0</v>
      </c>
      <c r="I14" s="14" t="b">
        <f t="shared" si="0"/>
        <v>0</v>
      </c>
      <c r="J14" t="s">
        <v>22</v>
      </c>
      <c r="K14" t="b">
        <f t="shared" si="3"/>
        <v>1</v>
      </c>
      <c r="L14" t="b">
        <f t="shared" si="4"/>
        <v>0</v>
      </c>
      <c r="M14" t="s">
        <v>13</v>
      </c>
      <c r="N14" t="b">
        <f t="shared" si="5"/>
        <v>0</v>
      </c>
      <c r="O14" t="str" cm="1">
        <f t="array" ref="O14">_xlfn.SWITCH(TRUE, ISNUMBER(SEARCH("sleep", M14)), "sleep", ISNUMBER(SEARCH("exercising", M14)), "exercise", ISNUMBER(SEARCH("always", M14)), "always", "never")</f>
        <v>never</v>
      </c>
      <c r="P14" t="s">
        <v>38</v>
      </c>
      <c r="Q14" t="b">
        <f t="shared" si="6"/>
        <v>1</v>
      </c>
      <c r="R14" t="b">
        <f t="shared" si="7"/>
        <v>1</v>
      </c>
      <c r="S14" t="b">
        <f t="shared" si="8"/>
        <v>0</v>
      </c>
      <c r="T14" t="s">
        <v>38</v>
      </c>
      <c r="U14" t="b">
        <f t="shared" si="9"/>
        <v>1</v>
      </c>
      <c r="V14" t="b">
        <f t="shared" si="10"/>
        <v>1</v>
      </c>
      <c r="W14" t="s">
        <v>23</v>
      </c>
      <c r="X14" t="s">
        <v>39</v>
      </c>
    </row>
    <row r="15" spans="1:25" ht="14.25" x14ac:dyDescent="0.2">
      <c r="A15">
        <v>45679.734568912041</v>
      </c>
      <c r="B15" s="7">
        <v>45679.734568912041</v>
      </c>
      <c r="C15" t="s">
        <v>40</v>
      </c>
      <c r="D15" s="15">
        <f t="shared" si="1"/>
        <v>0</v>
      </c>
      <c r="E15" t="s">
        <v>11</v>
      </c>
      <c r="F15" s="14" t="b">
        <f t="shared" si="2"/>
        <v>0</v>
      </c>
      <c r="G15" s="14" t="b">
        <f t="shared" si="0"/>
        <v>1</v>
      </c>
      <c r="H15" s="14" t="b">
        <f t="shared" si="0"/>
        <v>0</v>
      </c>
      <c r="I15" s="14" t="b">
        <f t="shared" si="0"/>
        <v>0</v>
      </c>
      <c r="J15" t="s">
        <v>22</v>
      </c>
      <c r="K15" t="b">
        <f t="shared" si="3"/>
        <v>1</v>
      </c>
      <c r="L15" t="b">
        <f t="shared" si="4"/>
        <v>0</v>
      </c>
      <c r="M15" t="s">
        <v>13</v>
      </c>
      <c r="N15" t="b">
        <f t="shared" si="5"/>
        <v>0</v>
      </c>
      <c r="O15" t="str" cm="1">
        <f t="array" ref="O15">_xlfn.SWITCH(TRUE, ISNUMBER(SEARCH("sleep", M15)), "sleep", ISNUMBER(SEARCH("exercising", M15)), "exercise", ISNUMBER(SEARCH("always", M15)), "always", "never")</f>
        <v>never</v>
      </c>
      <c r="P15" t="s">
        <v>19</v>
      </c>
      <c r="Q15" t="b">
        <f t="shared" si="6"/>
        <v>0</v>
      </c>
      <c r="R15" t="b">
        <f t="shared" si="7"/>
        <v>0</v>
      </c>
      <c r="S15" t="b">
        <f t="shared" si="8"/>
        <v>0</v>
      </c>
      <c r="T15" t="s">
        <v>41</v>
      </c>
      <c r="U15" t="b">
        <f t="shared" si="9"/>
        <v>1</v>
      </c>
      <c r="V15" t="b">
        <f t="shared" si="10"/>
        <v>0</v>
      </c>
      <c r="W15" t="s">
        <v>15</v>
      </c>
      <c r="X15" t="s">
        <v>33</v>
      </c>
    </row>
    <row r="16" spans="1:25" ht="14.25" x14ac:dyDescent="0.2">
      <c r="A16">
        <v>45679.736209456023</v>
      </c>
      <c r="B16" s="4">
        <v>45679.736209456023</v>
      </c>
      <c r="C16" t="s">
        <v>10</v>
      </c>
      <c r="D16" s="15" t="str">
        <f t="shared" si="1"/>
        <v>3</v>
      </c>
      <c r="E16" t="s">
        <v>11</v>
      </c>
      <c r="F16" s="14" t="b">
        <f t="shared" si="2"/>
        <v>0</v>
      </c>
      <c r="G16" s="14" t="b">
        <f t="shared" si="0"/>
        <v>1</v>
      </c>
      <c r="H16" s="14" t="b">
        <f t="shared" si="0"/>
        <v>0</v>
      </c>
      <c r="I16" s="14" t="b">
        <f t="shared" si="0"/>
        <v>0</v>
      </c>
      <c r="J16" t="s">
        <v>12</v>
      </c>
      <c r="K16" t="b">
        <f t="shared" si="3"/>
        <v>1</v>
      </c>
      <c r="L16" t="b">
        <f t="shared" si="4"/>
        <v>1</v>
      </c>
      <c r="M16" t="s">
        <v>34</v>
      </c>
      <c r="N16" t="b">
        <f t="shared" si="5"/>
        <v>1</v>
      </c>
      <c r="O16" t="str" cm="1">
        <f t="array" ref="O16">_xlfn.SWITCH(TRUE, ISNUMBER(SEARCH("sleep", M16)), "sleep", ISNUMBER(SEARCH("exercising", M16)), "exercise", ISNUMBER(SEARCH("always", M16)), "always", "never")</f>
        <v>always</v>
      </c>
      <c r="P16" t="s">
        <v>38</v>
      </c>
      <c r="Q16" t="b">
        <f t="shared" si="6"/>
        <v>1</v>
      </c>
      <c r="R16" t="b">
        <f t="shared" si="7"/>
        <v>1</v>
      </c>
      <c r="S16" t="b">
        <f t="shared" si="8"/>
        <v>0</v>
      </c>
      <c r="T16" t="s">
        <v>38</v>
      </c>
      <c r="U16" t="b">
        <f t="shared" si="9"/>
        <v>1</v>
      </c>
      <c r="V16" t="b">
        <f t="shared" si="10"/>
        <v>1</v>
      </c>
      <c r="W16" t="s">
        <v>15</v>
      </c>
      <c r="X16" t="s">
        <v>42</v>
      </c>
    </row>
    <row r="17" spans="1:25" ht="14.25" x14ac:dyDescent="0.2">
      <c r="A17">
        <v>45679.745117592596</v>
      </c>
      <c r="B17" s="7">
        <v>45679.745117592596</v>
      </c>
      <c r="C17" t="s">
        <v>10</v>
      </c>
      <c r="D17" s="15" t="str">
        <f t="shared" si="1"/>
        <v>3</v>
      </c>
      <c r="E17" t="s">
        <v>11</v>
      </c>
      <c r="F17" s="14" t="b">
        <f t="shared" si="2"/>
        <v>0</v>
      </c>
      <c r="G17" s="14" t="b">
        <f t="shared" si="0"/>
        <v>1</v>
      </c>
      <c r="H17" s="14" t="b">
        <f t="shared" si="0"/>
        <v>0</v>
      </c>
      <c r="I17" s="14" t="b">
        <f t="shared" si="0"/>
        <v>0</v>
      </c>
      <c r="J17" t="s">
        <v>12</v>
      </c>
      <c r="K17" t="b">
        <f t="shared" si="3"/>
        <v>1</v>
      </c>
      <c r="L17" t="b">
        <f t="shared" si="4"/>
        <v>1</v>
      </c>
      <c r="M17" t="s">
        <v>13</v>
      </c>
      <c r="N17" t="b">
        <f t="shared" si="5"/>
        <v>0</v>
      </c>
      <c r="O17" t="str" cm="1">
        <f t="array" ref="O17">_xlfn.SWITCH(TRUE, ISNUMBER(SEARCH("sleep", M17)), "sleep", ISNUMBER(SEARCH("exercising", M17)), "exercise", ISNUMBER(SEARCH("always", M17)), "always", "never")</f>
        <v>never</v>
      </c>
      <c r="P17" t="s">
        <v>41</v>
      </c>
      <c r="Q17" t="b">
        <f t="shared" si="6"/>
        <v>1</v>
      </c>
      <c r="R17" t="b">
        <f t="shared" si="7"/>
        <v>1</v>
      </c>
      <c r="S17" t="b">
        <f t="shared" si="8"/>
        <v>0</v>
      </c>
      <c r="T17" t="s">
        <v>41</v>
      </c>
      <c r="U17" t="b">
        <f t="shared" si="9"/>
        <v>1</v>
      </c>
      <c r="V17" t="b">
        <f t="shared" si="10"/>
        <v>0</v>
      </c>
      <c r="W17" t="s">
        <v>23</v>
      </c>
      <c r="X17" t="s">
        <v>43</v>
      </c>
    </row>
    <row r="18" spans="1:25" ht="14.25" x14ac:dyDescent="0.2">
      <c r="A18">
        <v>45679.789959467591</v>
      </c>
      <c r="B18" s="4">
        <v>45679.789959467591</v>
      </c>
      <c r="C18" t="s">
        <v>40</v>
      </c>
      <c r="D18" s="15">
        <f t="shared" si="1"/>
        <v>0</v>
      </c>
      <c r="E18" t="s">
        <v>11</v>
      </c>
      <c r="F18" s="14" t="b">
        <f t="shared" si="2"/>
        <v>0</v>
      </c>
      <c r="G18" s="14" t="b">
        <f t="shared" si="2"/>
        <v>1</v>
      </c>
      <c r="H18" s="14" t="b">
        <f t="shared" si="2"/>
        <v>0</v>
      </c>
      <c r="I18" s="14" t="b">
        <f t="shared" si="2"/>
        <v>0</v>
      </c>
      <c r="J18" t="s">
        <v>22</v>
      </c>
      <c r="K18" t="b">
        <f t="shared" si="3"/>
        <v>1</v>
      </c>
      <c r="L18" t="b">
        <f t="shared" si="4"/>
        <v>0</v>
      </c>
      <c r="M18" t="s">
        <v>13</v>
      </c>
      <c r="N18" t="b">
        <f t="shared" si="5"/>
        <v>0</v>
      </c>
      <c r="O18" t="str" cm="1">
        <f t="array" ref="O18">_xlfn.SWITCH(TRUE, ISNUMBER(SEARCH("sleep", M18)), "sleep", ISNUMBER(SEARCH("exercising", M18)), "exercise", ISNUMBER(SEARCH("always", M18)), "always", "never")</f>
        <v>never</v>
      </c>
      <c r="P18" t="s">
        <v>19</v>
      </c>
      <c r="Q18" t="b">
        <f t="shared" si="6"/>
        <v>0</v>
      </c>
      <c r="R18" t="b">
        <f t="shared" si="7"/>
        <v>0</v>
      </c>
      <c r="S18" t="b">
        <f t="shared" si="8"/>
        <v>0</v>
      </c>
      <c r="T18" t="s">
        <v>13</v>
      </c>
      <c r="U18" t="b">
        <f t="shared" si="9"/>
        <v>0</v>
      </c>
      <c r="V18" t="b">
        <f t="shared" si="10"/>
        <v>0</v>
      </c>
      <c r="W18" t="s">
        <v>23</v>
      </c>
      <c r="X18" t="s">
        <v>33</v>
      </c>
    </row>
    <row r="19" spans="1:25" ht="14.25" x14ac:dyDescent="0.2">
      <c r="A19">
        <v>45679.856360057871</v>
      </c>
      <c r="B19" s="7">
        <v>45679.856360057871</v>
      </c>
      <c r="C19" t="s">
        <v>10</v>
      </c>
      <c r="D19" s="15" t="str">
        <f t="shared" si="1"/>
        <v>3</v>
      </c>
      <c r="E19" t="s">
        <v>44</v>
      </c>
      <c r="F19" s="14" t="b">
        <f t="shared" si="2"/>
        <v>0</v>
      </c>
      <c r="G19" s="14" t="b">
        <f t="shared" si="2"/>
        <v>0</v>
      </c>
      <c r="H19" s="14" t="b">
        <f t="shared" si="2"/>
        <v>1</v>
      </c>
      <c r="I19" s="14" t="b">
        <f t="shared" si="2"/>
        <v>0</v>
      </c>
      <c r="J19" t="s">
        <v>12</v>
      </c>
      <c r="K19" t="b">
        <f t="shared" si="3"/>
        <v>1</v>
      </c>
      <c r="L19" t="b">
        <f t="shared" si="4"/>
        <v>1</v>
      </c>
      <c r="M19" t="s">
        <v>13</v>
      </c>
      <c r="N19" t="b">
        <f t="shared" si="5"/>
        <v>0</v>
      </c>
      <c r="O19" t="str" cm="1">
        <f t="array" ref="O19">_xlfn.SWITCH(TRUE, ISNUMBER(SEARCH("sleep", M19)), "sleep", ISNUMBER(SEARCH("exercising", M19)), "exercise", ISNUMBER(SEARCH("always", M19)), "always", "never")</f>
        <v>never</v>
      </c>
      <c r="P19" t="s">
        <v>19</v>
      </c>
      <c r="Q19" t="b">
        <f t="shared" si="6"/>
        <v>0</v>
      </c>
      <c r="R19" t="b">
        <f t="shared" si="7"/>
        <v>0</v>
      </c>
      <c r="S19" t="b">
        <f t="shared" si="8"/>
        <v>0</v>
      </c>
      <c r="T19" t="s">
        <v>13</v>
      </c>
      <c r="U19" t="b">
        <f t="shared" si="9"/>
        <v>0</v>
      </c>
      <c r="V19" t="b">
        <f t="shared" si="10"/>
        <v>0</v>
      </c>
    </row>
    <row r="20" spans="1:25" ht="14.25" x14ac:dyDescent="0.2">
      <c r="A20">
        <v>45679.86601017361</v>
      </c>
      <c r="B20" s="4">
        <v>45679.86601017361</v>
      </c>
      <c r="C20" t="s">
        <v>40</v>
      </c>
      <c r="D20" s="15">
        <f t="shared" si="1"/>
        <v>0</v>
      </c>
      <c r="E20" t="s">
        <v>45</v>
      </c>
      <c r="F20" s="14" t="b">
        <f t="shared" si="2"/>
        <v>1</v>
      </c>
      <c r="G20" s="14" t="b">
        <f t="shared" si="2"/>
        <v>1</v>
      </c>
      <c r="H20" s="14" t="b">
        <f t="shared" si="2"/>
        <v>0</v>
      </c>
      <c r="I20" s="14" t="b">
        <f t="shared" si="2"/>
        <v>0</v>
      </c>
      <c r="J20" t="s">
        <v>22</v>
      </c>
      <c r="K20" t="b">
        <f t="shared" si="3"/>
        <v>1</v>
      </c>
      <c r="L20" t="b">
        <f t="shared" si="4"/>
        <v>0</v>
      </c>
      <c r="M20" t="s">
        <v>13</v>
      </c>
      <c r="N20" t="b">
        <f t="shared" si="5"/>
        <v>0</v>
      </c>
      <c r="O20" t="str" cm="1">
        <f t="array" ref="O20">_xlfn.SWITCH(TRUE, ISNUMBER(SEARCH("sleep", M20)), "sleep", ISNUMBER(SEARCH("exercising", M20)), "exercise", ISNUMBER(SEARCH("always", M20)), "always", "never")</f>
        <v>never</v>
      </c>
      <c r="P20" t="s">
        <v>19</v>
      </c>
      <c r="Q20" t="b">
        <f t="shared" si="6"/>
        <v>0</v>
      </c>
      <c r="R20" t="b">
        <f t="shared" si="7"/>
        <v>0</v>
      </c>
      <c r="S20" t="b">
        <f t="shared" si="8"/>
        <v>0</v>
      </c>
      <c r="T20" t="s">
        <v>13</v>
      </c>
      <c r="U20" t="b">
        <f t="shared" si="9"/>
        <v>0</v>
      </c>
      <c r="V20" t="b">
        <f t="shared" si="10"/>
        <v>0</v>
      </c>
      <c r="X20" t="s">
        <v>46</v>
      </c>
      <c r="Y20" t="s">
        <v>47</v>
      </c>
    </row>
    <row r="21" spans="1:25" ht="14.25" x14ac:dyDescent="0.2">
      <c r="A21">
        <v>45679.880623263889</v>
      </c>
      <c r="B21" s="7">
        <v>45679.880623263889</v>
      </c>
      <c r="C21" t="s">
        <v>17</v>
      </c>
      <c r="D21" s="15" t="str">
        <f t="shared" si="1"/>
        <v>1</v>
      </c>
      <c r="E21" t="s">
        <v>11</v>
      </c>
      <c r="F21" s="14" t="b">
        <f t="shared" si="2"/>
        <v>0</v>
      </c>
      <c r="G21" s="14" t="b">
        <f t="shared" si="2"/>
        <v>1</v>
      </c>
      <c r="H21" s="14" t="b">
        <f t="shared" si="2"/>
        <v>0</v>
      </c>
      <c r="I21" s="14" t="b">
        <f t="shared" si="2"/>
        <v>0</v>
      </c>
      <c r="J21" t="s">
        <v>12</v>
      </c>
      <c r="K21" t="b">
        <f t="shared" si="3"/>
        <v>1</v>
      </c>
      <c r="L21" t="b">
        <f t="shared" si="4"/>
        <v>1</v>
      </c>
      <c r="M21" t="s">
        <v>18</v>
      </c>
      <c r="N21" t="b">
        <f t="shared" si="5"/>
        <v>1</v>
      </c>
      <c r="O21" t="str" cm="1">
        <f t="array" ref="O21">_xlfn.SWITCH(TRUE, ISNUMBER(SEARCH("sleep", M21)), "sleep", ISNUMBER(SEARCH("exercising", M21)), "exercise", ISNUMBER(SEARCH("always", M21)), "always", "never")</f>
        <v>sleep</v>
      </c>
      <c r="P21" t="s">
        <v>38</v>
      </c>
      <c r="Q21" t="b">
        <f t="shared" si="6"/>
        <v>1</v>
      </c>
      <c r="R21" t="b">
        <f t="shared" si="7"/>
        <v>1</v>
      </c>
      <c r="S21" t="b">
        <f t="shared" si="8"/>
        <v>0</v>
      </c>
      <c r="T21" t="s">
        <v>38</v>
      </c>
      <c r="U21" t="b">
        <f t="shared" si="9"/>
        <v>1</v>
      </c>
      <c r="V21" t="b">
        <f t="shared" si="10"/>
        <v>1</v>
      </c>
      <c r="W21" t="s">
        <v>15</v>
      </c>
      <c r="X21" t="s">
        <v>48</v>
      </c>
    </row>
    <row r="22" spans="1:25" ht="14.25" x14ac:dyDescent="0.2">
      <c r="A22">
        <v>45679.892367361113</v>
      </c>
      <c r="B22" s="4">
        <v>45679.892367361113</v>
      </c>
      <c r="C22" t="s">
        <v>17</v>
      </c>
      <c r="D22" s="15" t="str">
        <f t="shared" si="1"/>
        <v>1</v>
      </c>
      <c r="E22" t="s">
        <v>11</v>
      </c>
      <c r="F22" s="14" t="b">
        <f t="shared" si="2"/>
        <v>0</v>
      </c>
      <c r="G22" s="14" t="b">
        <f t="shared" si="2"/>
        <v>1</v>
      </c>
      <c r="H22" s="14" t="b">
        <f t="shared" si="2"/>
        <v>0</v>
      </c>
      <c r="I22" s="14" t="b">
        <f t="shared" si="2"/>
        <v>0</v>
      </c>
      <c r="J22" t="s">
        <v>22</v>
      </c>
      <c r="K22" t="b">
        <f t="shared" si="3"/>
        <v>1</v>
      </c>
      <c r="L22" t="b">
        <f t="shared" si="4"/>
        <v>0</v>
      </c>
      <c r="M22" t="s">
        <v>13</v>
      </c>
      <c r="N22" t="b">
        <f t="shared" si="5"/>
        <v>0</v>
      </c>
      <c r="O22" t="str" cm="1">
        <f t="array" ref="O22">_xlfn.SWITCH(TRUE, ISNUMBER(SEARCH("sleep", M22)), "sleep", ISNUMBER(SEARCH("exercising", M22)), "exercise", ISNUMBER(SEARCH("always", M22)), "always", "never")</f>
        <v>never</v>
      </c>
      <c r="P22" t="s">
        <v>19</v>
      </c>
      <c r="Q22" t="b">
        <f t="shared" si="6"/>
        <v>0</v>
      </c>
      <c r="R22" t="b">
        <f t="shared" si="7"/>
        <v>0</v>
      </c>
      <c r="S22" t="b">
        <f t="shared" si="8"/>
        <v>0</v>
      </c>
      <c r="T22" t="s">
        <v>38</v>
      </c>
      <c r="U22" t="b">
        <f t="shared" si="9"/>
        <v>1</v>
      </c>
      <c r="V22" t="b">
        <f t="shared" si="10"/>
        <v>1</v>
      </c>
      <c r="W22" t="s">
        <v>23</v>
      </c>
      <c r="X22" t="s">
        <v>33</v>
      </c>
    </row>
    <row r="23" spans="1:25" ht="14.25" x14ac:dyDescent="0.2">
      <c r="A23">
        <v>45679.976412569449</v>
      </c>
      <c r="B23" s="7">
        <v>45679.976412569449</v>
      </c>
      <c r="C23" t="s">
        <v>17</v>
      </c>
      <c r="D23" s="15" t="str">
        <f t="shared" si="1"/>
        <v>1</v>
      </c>
      <c r="E23" t="s">
        <v>11</v>
      </c>
      <c r="F23" s="14" t="b">
        <f t="shared" si="2"/>
        <v>0</v>
      </c>
      <c r="G23" s="14" t="b">
        <f t="shared" si="2"/>
        <v>1</v>
      </c>
      <c r="H23" s="14" t="b">
        <f t="shared" si="2"/>
        <v>0</v>
      </c>
      <c r="I23" s="14" t="b">
        <f t="shared" si="2"/>
        <v>0</v>
      </c>
      <c r="J23" t="s">
        <v>22</v>
      </c>
      <c r="K23" t="b">
        <f t="shared" si="3"/>
        <v>1</v>
      </c>
      <c r="L23" t="b">
        <f t="shared" si="4"/>
        <v>0</v>
      </c>
      <c r="M23" t="s">
        <v>13</v>
      </c>
      <c r="N23" t="b">
        <f t="shared" si="5"/>
        <v>0</v>
      </c>
      <c r="O23" t="str" cm="1">
        <f t="array" ref="O23">_xlfn.SWITCH(TRUE, ISNUMBER(SEARCH("sleep", M23)), "sleep", ISNUMBER(SEARCH("exercising", M23)), "exercise", ISNUMBER(SEARCH("always", M23)), "always", "never")</f>
        <v>never</v>
      </c>
      <c r="P23" t="s">
        <v>49</v>
      </c>
      <c r="Q23" t="b">
        <f t="shared" si="6"/>
        <v>0</v>
      </c>
      <c r="R23" t="b">
        <f t="shared" si="7"/>
        <v>1</v>
      </c>
      <c r="S23" t="b">
        <f t="shared" si="8"/>
        <v>1</v>
      </c>
      <c r="T23" t="s">
        <v>13</v>
      </c>
      <c r="U23" t="b">
        <f t="shared" si="9"/>
        <v>0</v>
      </c>
      <c r="V23" t="b">
        <f t="shared" si="10"/>
        <v>0</v>
      </c>
      <c r="X23" t="s">
        <v>50</v>
      </c>
    </row>
    <row r="24" spans="1:25" ht="14.25" x14ac:dyDescent="0.2">
      <c r="A24">
        <v>45680.007864884261</v>
      </c>
      <c r="B24" s="4">
        <v>45680.007864884261</v>
      </c>
      <c r="C24" t="s">
        <v>40</v>
      </c>
      <c r="D24" s="15">
        <f t="shared" si="1"/>
        <v>0</v>
      </c>
      <c r="E24" t="s">
        <v>11</v>
      </c>
      <c r="F24" s="14" t="b">
        <f t="shared" si="2"/>
        <v>0</v>
      </c>
      <c r="G24" s="14" t="b">
        <f t="shared" si="2"/>
        <v>1</v>
      </c>
      <c r="H24" s="14" t="b">
        <f t="shared" si="2"/>
        <v>0</v>
      </c>
      <c r="I24" s="14" t="b">
        <f t="shared" si="2"/>
        <v>0</v>
      </c>
      <c r="J24" t="s">
        <v>13</v>
      </c>
      <c r="K24" t="b">
        <f t="shared" si="3"/>
        <v>0</v>
      </c>
      <c r="L24" t="b">
        <f t="shared" si="4"/>
        <v>0</v>
      </c>
      <c r="M24" t="s">
        <v>13</v>
      </c>
      <c r="N24" t="b">
        <f t="shared" si="5"/>
        <v>0</v>
      </c>
      <c r="O24" t="str" cm="1">
        <f t="array" ref="O24">_xlfn.SWITCH(TRUE, ISNUMBER(SEARCH("sleep", M24)), "sleep", ISNUMBER(SEARCH("exercising", M24)), "exercise", ISNUMBER(SEARCH("always", M24)), "always", "never")</f>
        <v>never</v>
      </c>
      <c r="P24" t="s">
        <v>19</v>
      </c>
      <c r="Q24" t="b">
        <f t="shared" si="6"/>
        <v>0</v>
      </c>
      <c r="R24" t="b">
        <f t="shared" si="7"/>
        <v>0</v>
      </c>
      <c r="S24" t="b">
        <f t="shared" si="8"/>
        <v>0</v>
      </c>
      <c r="T24" t="s">
        <v>13</v>
      </c>
      <c r="U24" t="b">
        <f t="shared" si="9"/>
        <v>0</v>
      </c>
      <c r="V24" t="b">
        <f t="shared" si="10"/>
        <v>0</v>
      </c>
      <c r="X24" t="s">
        <v>33</v>
      </c>
    </row>
    <row r="25" spans="1:25" ht="14.25" x14ac:dyDescent="0.2">
      <c r="A25">
        <v>45680.320305914356</v>
      </c>
      <c r="B25" s="7">
        <v>45680.320305914356</v>
      </c>
      <c r="C25" t="s">
        <v>17</v>
      </c>
      <c r="D25" s="15" t="str">
        <f t="shared" si="1"/>
        <v>1</v>
      </c>
      <c r="E25" t="s">
        <v>21</v>
      </c>
      <c r="F25" s="14" t="b">
        <f t="shared" si="2"/>
        <v>1</v>
      </c>
      <c r="G25" s="14" t="b">
        <f t="shared" si="2"/>
        <v>0</v>
      </c>
      <c r="H25" s="14" t="b">
        <f t="shared" si="2"/>
        <v>0</v>
      </c>
      <c r="I25" s="14" t="b">
        <f t="shared" si="2"/>
        <v>0</v>
      </c>
      <c r="J25" t="s">
        <v>22</v>
      </c>
      <c r="K25" t="b">
        <f t="shared" si="3"/>
        <v>1</v>
      </c>
      <c r="L25" t="b">
        <f t="shared" si="4"/>
        <v>0</v>
      </c>
      <c r="M25" t="s">
        <v>13</v>
      </c>
      <c r="N25" t="b">
        <f t="shared" si="5"/>
        <v>0</v>
      </c>
      <c r="O25" t="str" cm="1">
        <f t="array" ref="O25">_xlfn.SWITCH(TRUE, ISNUMBER(SEARCH("sleep", M25)), "sleep", ISNUMBER(SEARCH("exercising", M25)), "exercise", ISNUMBER(SEARCH("always", M25)), "always", "never")</f>
        <v>never</v>
      </c>
      <c r="P25" t="s">
        <v>49</v>
      </c>
      <c r="Q25" t="b">
        <f t="shared" si="6"/>
        <v>0</v>
      </c>
      <c r="R25" t="b">
        <f t="shared" si="7"/>
        <v>1</v>
      </c>
      <c r="S25" t="b">
        <f t="shared" si="8"/>
        <v>1</v>
      </c>
      <c r="T25" t="s">
        <v>13</v>
      </c>
      <c r="U25" t="b">
        <f t="shared" si="9"/>
        <v>0</v>
      </c>
      <c r="V25" t="b">
        <f t="shared" si="10"/>
        <v>0</v>
      </c>
      <c r="X25" t="s">
        <v>16</v>
      </c>
    </row>
    <row r="26" spans="1:25" ht="14.25" x14ac:dyDescent="0.2">
      <c r="A26">
        <v>45680.335879270831</v>
      </c>
      <c r="B26" s="4">
        <v>45680.335879270831</v>
      </c>
      <c r="C26" t="s">
        <v>40</v>
      </c>
      <c r="D26" s="15">
        <f t="shared" si="1"/>
        <v>0</v>
      </c>
      <c r="E26" t="s">
        <v>11</v>
      </c>
      <c r="F26" s="14" t="b">
        <f t="shared" si="2"/>
        <v>0</v>
      </c>
      <c r="G26" s="14" t="b">
        <f t="shared" si="2"/>
        <v>1</v>
      </c>
      <c r="H26" s="14" t="b">
        <f t="shared" si="2"/>
        <v>0</v>
      </c>
      <c r="I26" s="14" t="b">
        <f t="shared" si="2"/>
        <v>0</v>
      </c>
      <c r="J26" t="s">
        <v>22</v>
      </c>
      <c r="K26" t="b">
        <f t="shared" si="3"/>
        <v>1</v>
      </c>
      <c r="L26" t="b">
        <f t="shared" si="4"/>
        <v>0</v>
      </c>
      <c r="M26" t="s">
        <v>18</v>
      </c>
      <c r="N26" t="b">
        <f t="shared" si="5"/>
        <v>1</v>
      </c>
      <c r="O26" t="str" cm="1">
        <f t="array" ref="O26">_xlfn.SWITCH(TRUE, ISNUMBER(SEARCH("sleep", M26)), "sleep", ISNUMBER(SEARCH("exercising", M26)), "exercise", ISNUMBER(SEARCH("always", M26)), "always", "never")</f>
        <v>sleep</v>
      </c>
      <c r="P26" t="s">
        <v>41</v>
      </c>
      <c r="Q26" t="b">
        <f t="shared" si="6"/>
        <v>1</v>
      </c>
      <c r="R26" t="b">
        <f t="shared" si="7"/>
        <v>1</v>
      </c>
      <c r="S26" t="b">
        <f t="shared" si="8"/>
        <v>0</v>
      </c>
      <c r="T26" t="s">
        <v>41</v>
      </c>
      <c r="U26" t="b">
        <f t="shared" si="9"/>
        <v>1</v>
      </c>
      <c r="V26" t="b">
        <f t="shared" si="10"/>
        <v>0</v>
      </c>
      <c r="W26" t="s">
        <v>15</v>
      </c>
      <c r="X26" t="s">
        <v>51</v>
      </c>
    </row>
    <row r="27" spans="1:25" ht="14.25" x14ac:dyDescent="0.2">
      <c r="A27">
        <v>45680.356543807866</v>
      </c>
      <c r="B27" s="7">
        <v>45680.356543807866</v>
      </c>
      <c r="C27" t="s">
        <v>40</v>
      </c>
      <c r="D27" s="15">
        <f t="shared" si="1"/>
        <v>0</v>
      </c>
      <c r="E27" t="s">
        <v>11</v>
      </c>
      <c r="F27" s="14" t="b">
        <f t="shared" si="2"/>
        <v>0</v>
      </c>
      <c r="G27" s="14" t="b">
        <f t="shared" si="2"/>
        <v>1</v>
      </c>
      <c r="H27" s="14" t="b">
        <f t="shared" si="2"/>
        <v>0</v>
      </c>
      <c r="I27" s="14" t="b">
        <f t="shared" si="2"/>
        <v>0</v>
      </c>
      <c r="J27" t="s">
        <v>12</v>
      </c>
      <c r="K27" t="b">
        <f t="shared" si="3"/>
        <v>1</v>
      </c>
      <c r="L27" t="b">
        <f t="shared" si="4"/>
        <v>1</v>
      </c>
      <c r="M27" t="s">
        <v>13</v>
      </c>
      <c r="N27" t="b">
        <f t="shared" si="5"/>
        <v>0</v>
      </c>
      <c r="O27" t="str" cm="1">
        <f t="array" ref="O27">_xlfn.SWITCH(TRUE, ISNUMBER(SEARCH("sleep", M27)), "sleep", ISNUMBER(SEARCH("exercising", M27)), "exercise", ISNUMBER(SEARCH("always", M27)), "always", "never")</f>
        <v>never</v>
      </c>
      <c r="P27" t="s">
        <v>38</v>
      </c>
      <c r="Q27" t="b">
        <f t="shared" si="6"/>
        <v>1</v>
      </c>
      <c r="R27" t="b">
        <f t="shared" si="7"/>
        <v>1</v>
      </c>
      <c r="S27" t="b">
        <f t="shared" si="8"/>
        <v>0</v>
      </c>
      <c r="T27" t="s">
        <v>38</v>
      </c>
      <c r="U27" t="b">
        <f t="shared" si="9"/>
        <v>1</v>
      </c>
      <c r="V27" t="b">
        <f t="shared" si="10"/>
        <v>1</v>
      </c>
      <c r="W27" t="s">
        <v>23</v>
      </c>
      <c r="X27" t="s">
        <v>52</v>
      </c>
    </row>
    <row r="28" spans="1:25" ht="14.25" x14ac:dyDescent="0.2">
      <c r="A28">
        <v>45680.367232106481</v>
      </c>
      <c r="B28" s="4">
        <v>45680.367232106481</v>
      </c>
      <c r="C28" t="s">
        <v>10</v>
      </c>
      <c r="D28" s="15" t="str">
        <f t="shared" si="1"/>
        <v>3</v>
      </c>
      <c r="E28" t="s">
        <v>11</v>
      </c>
      <c r="F28" s="14" t="b">
        <f t="shared" si="2"/>
        <v>0</v>
      </c>
      <c r="G28" s="14" t="b">
        <f t="shared" si="2"/>
        <v>1</v>
      </c>
      <c r="H28" s="14" t="b">
        <f t="shared" si="2"/>
        <v>0</v>
      </c>
      <c r="I28" s="14" t="b">
        <f t="shared" si="2"/>
        <v>0</v>
      </c>
      <c r="J28" t="s">
        <v>12</v>
      </c>
      <c r="K28" t="b">
        <f t="shared" si="3"/>
        <v>1</v>
      </c>
      <c r="L28" t="b">
        <f t="shared" si="4"/>
        <v>1</v>
      </c>
      <c r="M28" t="s">
        <v>34</v>
      </c>
      <c r="N28" t="b">
        <f t="shared" si="5"/>
        <v>1</v>
      </c>
      <c r="O28" t="str" cm="1">
        <f t="array" ref="O28">_xlfn.SWITCH(TRUE, ISNUMBER(SEARCH("sleep", M28)), "sleep", ISNUMBER(SEARCH("exercising", M28)), "exercise", ISNUMBER(SEARCH("always", M28)), "always", "never")</f>
        <v>always</v>
      </c>
      <c r="P28" t="s">
        <v>19</v>
      </c>
      <c r="Q28" t="b">
        <f t="shared" si="6"/>
        <v>0</v>
      </c>
      <c r="R28" t="b">
        <f t="shared" si="7"/>
        <v>0</v>
      </c>
      <c r="S28" t="b">
        <f t="shared" si="8"/>
        <v>0</v>
      </c>
      <c r="T28" t="s">
        <v>38</v>
      </c>
      <c r="U28" t="b">
        <f t="shared" si="9"/>
        <v>1</v>
      </c>
      <c r="V28" t="b">
        <f t="shared" si="10"/>
        <v>1</v>
      </c>
      <c r="W28" t="s">
        <v>15</v>
      </c>
      <c r="X28" t="s">
        <v>33</v>
      </c>
      <c r="Y28" t="s">
        <v>53</v>
      </c>
    </row>
    <row r="29" spans="1:25" ht="14.25" x14ac:dyDescent="0.2">
      <c r="A29">
        <v>45680.406850486106</v>
      </c>
      <c r="B29" s="7">
        <v>45680.406850486106</v>
      </c>
      <c r="C29" t="s">
        <v>54</v>
      </c>
      <c r="D29" s="15" t="str">
        <f t="shared" si="1"/>
        <v>6</v>
      </c>
      <c r="E29" t="s">
        <v>11</v>
      </c>
      <c r="F29" s="14" t="b">
        <f t="shared" si="2"/>
        <v>0</v>
      </c>
      <c r="G29" s="14" t="b">
        <f t="shared" si="2"/>
        <v>1</v>
      </c>
      <c r="H29" s="14" t="b">
        <f t="shared" si="2"/>
        <v>0</v>
      </c>
      <c r="I29" s="14" t="b">
        <f t="shared" si="2"/>
        <v>0</v>
      </c>
      <c r="J29" t="s">
        <v>22</v>
      </c>
      <c r="K29" t="b">
        <f t="shared" si="3"/>
        <v>1</v>
      </c>
      <c r="L29" t="b">
        <f t="shared" si="4"/>
        <v>0</v>
      </c>
      <c r="M29" t="s">
        <v>13</v>
      </c>
      <c r="N29" t="b">
        <f t="shared" si="5"/>
        <v>0</v>
      </c>
      <c r="O29" t="str" cm="1">
        <f t="array" ref="O29">_xlfn.SWITCH(TRUE, ISNUMBER(SEARCH("sleep", M29)), "sleep", ISNUMBER(SEARCH("exercising", M29)), "exercise", ISNUMBER(SEARCH("always", M29)), "always", "never")</f>
        <v>never</v>
      </c>
      <c r="P29" t="s">
        <v>49</v>
      </c>
      <c r="Q29" t="b">
        <f t="shared" si="6"/>
        <v>0</v>
      </c>
      <c r="R29" t="b">
        <f t="shared" si="7"/>
        <v>1</v>
      </c>
      <c r="S29" t="b">
        <f t="shared" si="8"/>
        <v>1</v>
      </c>
      <c r="T29" t="s">
        <v>38</v>
      </c>
      <c r="U29" t="b">
        <f t="shared" si="9"/>
        <v>1</v>
      </c>
      <c r="V29" t="b">
        <f t="shared" si="10"/>
        <v>1</v>
      </c>
      <c r="W29" t="s">
        <v>23</v>
      </c>
      <c r="X29" t="s">
        <v>55</v>
      </c>
    </row>
    <row r="30" spans="1:25" ht="14.25" x14ac:dyDescent="0.2">
      <c r="A30">
        <v>45680.431812222218</v>
      </c>
      <c r="B30" s="4">
        <v>45680.431812222218</v>
      </c>
      <c r="C30" t="s">
        <v>17</v>
      </c>
      <c r="D30" s="15" t="str">
        <f t="shared" si="1"/>
        <v>1</v>
      </c>
      <c r="E30" t="s">
        <v>11</v>
      </c>
      <c r="F30" s="14" t="b">
        <f t="shared" si="2"/>
        <v>0</v>
      </c>
      <c r="G30" s="14" t="b">
        <f t="shared" si="2"/>
        <v>1</v>
      </c>
      <c r="H30" s="14" t="b">
        <f t="shared" si="2"/>
        <v>0</v>
      </c>
      <c r="I30" s="14" t="b">
        <f t="shared" si="2"/>
        <v>0</v>
      </c>
      <c r="J30" t="s">
        <v>22</v>
      </c>
      <c r="K30" t="b">
        <f t="shared" si="3"/>
        <v>1</v>
      </c>
      <c r="L30" t="b">
        <f t="shared" si="4"/>
        <v>0</v>
      </c>
      <c r="M30" t="s">
        <v>13</v>
      </c>
      <c r="N30" t="b">
        <f t="shared" si="5"/>
        <v>0</v>
      </c>
      <c r="O30" t="str" cm="1">
        <f t="array" ref="O30">_xlfn.SWITCH(TRUE, ISNUMBER(SEARCH("sleep", M30)), "sleep", ISNUMBER(SEARCH("exercising", M30)), "exercise", ISNUMBER(SEARCH("always", M30)), "always", "never")</f>
        <v>never</v>
      </c>
      <c r="P30" t="s">
        <v>38</v>
      </c>
      <c r="Q30" t="b">
        <f t="shared" si="6"/>
        <v>1</v>
      </c>
      <c r="R30" t="b">
        <f t="shared" si="7"/>
        <v>1</v>
      </c>
      <c r="S30" t="b">
        <f t="shared" si="8"/>
        <v>0</v>
      </c>
      <c r="T30" t="s">
        <v>38</v>
      </c>
      <c r="U30" t="b">
        <f t="shared" si="9"/>
        <v>1</v>
      </c>
      <c r="V30" t="b">
        <f t="shared" si="10"/>
        <v>1</v>
      </c>
      <c r="W30" t="s">
        <v>15</v>
      </c>
      <c r="X30" t="s">
        <v>56</v>
      </c>
      <c r="Y30" t="s">
        <v>57</v>
      </c>
    </row>
    <row r="31" spans="1:25" ht="14.25" x14ac:dyDescent="0.2">
      <c r="A31">
        <v>45680.441968368061</v>
      </c>
      <c r="B31" s="7">
        <v>45680.441968368061</v>
      </c>
      <c r="C31" t="s">
        <v>17</v>
      </c>
      <c r="D31" s="15" t="str">
        <f t="shared" si="1"/>
        <v>1</v>
      </c>
      <c r="E31" t="s">
        <v>11</v>
      </c>
      <c r="F31" s="14" t="b">
        <f t="shared" si="2"/>
        <v>0</v>
      </c>
      <c r="G31" s="14" t="b">
        <f t="shared" si="2"/>
        <v>1</v>
      </c>
      <c r="H31" s="14" t="b">
        <f t="shared" si="2"/>
        <v>0</v>
      </c>
      <c r="I31" s="14" t="b">
        <f t="shared" si="2"/>
        <v>0</v>
      </c>
      <c r="J31" t="s">
        <v>22</v>
      </c>
      <c r="K31" t="b">
        <f t="shared" si="3"/>
        <v>1</v>
      </c>
      <c r="L31" t="b">
        <f t="shared" si="4"/>
        <v>0</v>
      </c>
      <c r="M31" t="s">
        <v>13</v>
      </c>
      <c r="N31" t="b">
        <f t="shared" si="5"/>
        <v>0</v>
      </c>
      <c r="O31" t="str" cm="1">
        <f t="array" ref="O31">_xlfn.SWITCH(TRUE, ISNUMBER(SEARCH("sleep", M31)), "sleep", ISNUMBER(SEARCH("exercising", M31)), "exercise", ISNUMBER(SEARCH("always", M31)), "always", "never")</f>
        <v>never</v>
      </c>
      <c r="P31" t="s">
        <v>38</v>
      </c>
      <c r="Q31" t="b">
        <f t="shared" si="6"/>
        <v>1</v>
      </c>
      <c r="R31" t="b">
        <f t="shared" si="7"/>
        <v>1</v>
      </c>
      <c r="S31" t="b">
        <f t="shared" si="8"/>
        <v>0</v>
      </c>
      <c r="T31" t="s">
        <v>38</v>
      </c>
      <c r="U31" t="b">
        <f t="shared" si="9"/>
        <v>1</v>
      </c>
      <c r="V31" t="b">
        <f t="shared" si="10"/>
        <v>1</v>
      </c>
      <c r="W31" t="s">
        <v>15</v>
      </c>
      <c r="X31" t="s">
        <v>58</v>
      </c>
    </row>
    <row r="32" spans="1:25" ht="14.25" x14ac:dyDescent="0.2">
      <c r="A32">
        <v>45680.48148751157</v>
      </c>
      <c r="B32" s="4">
        <v>45680.48148751157</v>
      </c>
      <c r="C32" t="s">
        <v>17</v>
      </c>
      <c r="D32" s="15" t="str">
        <f t="shared" si="1"/>
        <v>1</v>
      </c>
      <c r="E32" t="s">
        <v>11</v>
      </c>
      <c r="F32" s="14" t="b">
        <f t="shared" si="2"/>
        <v>0</v>
      </c>
      <c r="G32" s="14" t="b">
        <f t="shared" si="2"/>
        <v>1</v>
      </c>
      <c r="H32" s="14" t="b">
        <f t="shared" si="2"/>
        <v>0</v>
      </c>
      <c r="I32" s="14" t="b">
        <f t="shared" si="2"/>
        <v>0</v>
      </c>
      <c r="J32" t="s">
        <v>12</v>
      </c>
      <c r="K32" t="b">
        <f t="shared" si="3"/>
        <v>1</v>
      </c>
      <c r="L32" t="b">
        <f t="shared" si="4"/>
        <v>1</v>
      </c>
      <c r="M32" t="s">
        <v>13</v>
      </c>
      <c r="N32" t="b">
        <f t="shared" si="5"/>
        <v>0</v>
      </c>
      <c r="O32" t="str" cm="1">
        <f t="array" ref="O32">_xlfn.SWITCH(TRUE, ISNUMBER(SEARCH("sleep", M32)), "sleep", ISNUMBER(SEARCH("exercising", M32)), "exercise", ISNUMBER(SEARCH("always", M32)), "always", "never")</f>
        <v>never</v>
      </c>
      <c r="P32" t="s">
        <v>38</v>
      </c>
      <c r="Q32" t="b">
        <f t="shared" si="6"/>
        <v>1</v>
      </c>
      <c r="R32" t="b">
        <f t="shared" si="7"/>
        <v>1</v>
      </c>
      <c r="S32" t="b">
        <f t="shared" si="8"/>
        <v>0</v>
      </c>
      <c r="T32" t="s">
        <v>38</v>
      </c>
      <c r="U32" t="b">
        <f t="shared" si="9"/>
        <v>1</v>
      </c>
      <c r="V32" t="b">
        <f t="shared" si="10"/>
        <v>1</v>
      </c>
      <c r="W32" t="s">
        <v>23</v>
      </c>
      <c r="X32" t="s">
        <v>59</v>
      </c>
    </row>
    <row r="33" spans="1:25" ht="14.25" x14ac:dyDescent="0.2">
      <c r="A33">
        <v>45680.565484942126</v>
      </c>
      <c r="B33" s="7">
        <v>45680.565484942126</v>
      </c>
      <c r="C33" t="s">
        <v>54</v>
      </c>
      <c r="D33" s="15" t="str">
        <f t="shared" si="1"/>
        <v>6</v>
      </c>
      <c r="E33" t="s">
        <v>11</v>
      </c>
      <c r="F33" s="14" t="b">
        <f t="shared" si="2"/>
        <v>0</v>
      </c>
      <c r="G33" s="14" t="b">
        <f t="shared" si="2"/>
        <v>1</v>
      </c>
      <c r="H33" s="14" t="b">
        <f t="shared" si="2"/>
        <v>0</v>
      </c>
      <c r="I33" s="14" t="b">
        <f t="shared" si="2"/>
        <v>0</v>
      </c>
      <c r="J33" t="s">
        <v>22</v>
      </c>
      <c r="K33" t="b">
        <f t="shared" si="3"/>
        <v>1</v>
      </c>
      <c r="L33" t="b">
        <f t="shared" si="4"/>
        <v>0</v>
      </c>
      <c r="M33" t="s">
        <v>31</v>
      </c>
      <c r="N33" t="b">
        <f t="shared" si="5"/>
        <v>1</v>
      </c>
      <c r="O33" t="str" cm="1">
        <f t="array" ref="O33">_xlfn.SWITCH(TRUE, ISNUMBER(SEARCH("sleep", M33)), "sleep", ISNUMBER(SEARCH("exercising", M33)), "exercise", ISNUMBER(SEARCH("always", M33)), "always", "never")</f>
        <v>exercise</v>
      </c>
      <c r="P33" t="s">
        <v>38</v>
      </c>
      <c r="Q33" t="b">
        <f t="shared" si="6"/>
        <v>1</v>
      </c>
      <c r="R33" t="b">
        <f t="shared" si="7"/>
        <v>1</v>
      </c>
      <c r="S33" t="b">
        <f t="shared" si="8"/>
        <v>0</v>
      </c>
      <c r="T33" t="s">
        <v>38</v>
      </c>
      <c r="U33" t="b">
        <f t="shared" si="9"/>
        <v>1</v>
      </c>
      <c r="V33" t="b">
        <f t="shared" si="10"/>
        <v>1</v>
      </c>
      <c r="W33" t="s">
        <v>23</v>
      </c>
      <c r="X33" t="s">
        <v>33</v>
      </c>
    </row>
    <row r="34" spans="1:25" ht="14.25" x14ac:dyDescent="0.2">
      <c r="A34">
        <v>45680.618683113426</v>
      </c>
      <c r="B34" s="4">
        <v>45680.618683113426</v>
      </c>
      <c r="C34" t="s">
        <v>54</v>
      </c>
      <c r="D34" s="15" t="str">
        <f t="shared" si="1"/>
        <v>6</v>
      </c>
      <c r="E34" t="s">
        <v>60</v>
      </c>
      <c r="F34" s="14" t="b">
        <f t="shared" si="2"/>
        <v>0</v>
      </c>
      <c r="G34" s="14" t="b">
        <f t="shared" si="2"/>
        <v>1</v>
      </c>
      <c r="H34" s="14" t="b">
        <f t="shared" si="2"/>
        <v>0</v>
      </c>
      <c r="I34" s="14" t="b">
        <f t="shared" si="2"/>
        <v>0</v>
      </c>
      <c r="J34" t="s">
        <v>12</v>
      </c>
      <c r="K34" t="b">
        <f t="shared" si="3"/>
        <v>1</v>
      </c>
      <c r="L34" t="b">
        <f t="shared" si="4"/>
        <v>1</v>
      </c>
      <c r="M34" t="s">
        <v>34</v>
      </c>
      <c r="N34" t="b">
        <f t="shared" si="5"/>
        <v>1</v>
      </c>
      <c r="O34" t="str" cm="1">
        <f t="array" ref="O34">_xlfn.SWITCH(TRUE, ISNUMBER(SEARCH("sleep", M34)), "sleep", ISNUMBER(SEARCH("exercising", M34)), "exercise", ISNUMBER(SEARCH("always", M34)), "always", "never")</f>
        <v>always</v>
      </c>
      <c r="P34" t="s">
        <v>49</v>
      </c>
      <c r="Q34" t="b">
        <f t="shared" si="6"/>
        <v>0</v>
      </c>
      <c r="R34" t="b">
        <f t="shared" si="7"/>
        <v>1</v>
      </c>
      <c r="S34" t="b">
        <f t="shared" si="8"/>
        <v>1</v>
      </c>
      <c r="T34" t="s">
        <v>13</v>
      </c>
      <c r="U34" t="b">
        <f t="shared" si="9"/>
        <v>0</v>
      </c>
      <c r="V34" t="b">
        <f t="shared" si="10"/>
        <v>0</v>
      </c>
      <c r="X34" t="s">
        <v>61</v>
      </c>
      <c r="Y34" t="s">
        <v>62</v>
      </c>
    </row>
    <row r="35" spans="1:25" ht="14.25" x14ac:dyDescent="0.2">
      <c r="A35">
        <v>45680.830201423611</v>
      </c>
      <c r="B35" s="7">
        <v>45680.830201423611</v>
      </c>
      <c r="C35" t="s">
        <v>17</v>
      </c>
      <c r="D35" s="15" t="str">
        <f t="shared" si="1"/>
        <v>1</v>
      </c>
      <c r="E35" t="s">
        <v>11</v>
      </c>
      <c r="F35" s="14" t="b">
        <f t="shared" si="2"/>
        <v>0</v>
      </c>
      <c r="G35" s="14" t="b">
        <f t="shared" si="2"/>
        <v>1</v>
      </c>
      <c r="H35" s="14" t="b">
        <f t="shared" si="2"/>
        <v>0</v>
      </c>
      <c r="I35" s="14" t="b">
        <f t="shared" si="2"/>
        <v>0</v>
      </c>
      <c r="J35" t="s">
        <v>22</v>
      </c>
      <c r="K35" t="b">
        <f t="shared" si="3"/>
        <v>1</v>
      </c>
      <c r="L35" t="b">
        <f t="shared" si="4"/>
        <v>0</v>
      </c>
      <c r="M35" t="s">
        <v>13</v>
      </c>
      <c r="N35" t="b">
        <f t="shared" si="5"/>
        <v>0</v>
      </c>
      <c r="O35" t="str" cm="1">
        <f t="array" ref="O35">_xlfn.SWITCH(TRUE, ISNUMBER(SEARCH("sleep", M35)), "sleep", ISNUMBER(SEARCH("exercising", M35)), "exercise", ISNUMBER(SEARCH("always", M35)), "always", "never")</f>
        <v>never</v>
      </c>
      <c r="P35" t="s">
        <v>19</v>
      </c>
      <c r="Q35" t="b">
        <f t="shared" si="6"/>
        <v>0</v>
      </c>
      <c r="R35" t="b">
        <f t="shared" si="7"/>
        <v>0</v>
      </c>
      <c r="S35" t="b">
        <f t="shared" si="8"/>
        <v>0</v>
      </c>
      <c r="T35" t="s">
        <v>41</v>
      </c>
      <c r="U35" t="b">
        <f t="shared" si="9"/>
        <v>1</v>
      </c>
      <c r="V35" t="b">
        <f t="shared" si="10"/>
        <v>0</v>
      </c>
      <c r="W35" t="s">
        <v>23</v>
      </c>
      <c r="X35" t="s">
        <v>33</v>
      </c>
      <c r="Y35" t="s">
        <v>63</v>
      </c>
    </row>
    <row r="36" spans="1:25" ht="14.25" x14ac:dyDescent="0.2">
      <c r="A36">
        <v>45681.375439791664</v>
      </c>
      <c r="B36" s="4">
        <v>45681.375439791664</v>
      </c>
      <c r="C36" t="s">
        <v>40</v>
      </c>
      <c r="D36" s="15">
        <f t="shared" si="1"/>
        <v>0</v>
      </c>
      <c r="E36" t="s">
        <v>21</v>
      </c>
      <c r="F36" s="14" t="b">
        <f t="shared" si="2"/>
        <v>1</v>
      </c>
      <c r="G36" s="14" t="b">
        <f t="shared" si="2"/>
        <v>0</v>
      </c>
      <c r="H36" s="14" t="b">
        <f t="shared" si="2"/>
        <v>0</v>
      </c>
      <c r="I36" s="14" t="b">
        <f t="shared" si="2"/>
        <v>0</v>
      </c>
      <c r="J36" t="s">
        <v>22</v>
      </c>
      <c r="K36" t="b">
        <f t="shared" si="3"/>
        <v>1</v>
      </c>
      <c r="L36" t="b">
        <f t="shared" si="4"/>
        <v>0</v>
      </c>
      <c r="M36" t="s">
        <v>13</v>
      </c>
      <c r="N36" t="b">
        <f t="shared" si="5"/>
        <v>0</v>
      </c>
      <c r="O36" t="str" cm="1">
        <f t="array" ref="O36">_xlfn.SWITCH(TRUE, ISNUMBER(SEARCH("sleep", M36)), "sleep", ISNUMBER(SEARCH("exercising", M36)), "exercise", ISNUMBER(SEARCH("always", M36)), "always", "never")</f>
        <v>never</v>
      </c>
      <c r="P36" t="s">
        <v>38</v>
      </c>
      <c r="Q36" t="b">
        <f t="shared" si="6"/>
        <v>1</v>
      </c>
      <c r="R36" t="b">
        <f t="shared" si="7"/>
        <v>1</v>
      </c>
      <c r="S36" t="b">
        <f t="shared" si="8"/>
        <v>0</v>
      </c>
      <c r="T36" t="s">
        <v>38</v>
      </c>
      <c r="U36" t="b">
        <f t="shared" si="9"/>
        <v>1</v>
      </c>
      <c r="V36" t="b">
        <f t="shared" si="10"/>
        <v>1</v>
      </c>
      <c r="W36" t="s">
        <v>15</v>
      </c>
      <c r="X36" t="s">
        <v>64</v>
      </c>
    </row>
    <row r="37" spans="1:25" ht="14.25" x14ac:dyDescent="0.2">
      <c r="A37">
        <v>45681.725939340278</v>
      </c>
      <c r="B37" s="7">
        <v>45681.725939340278</v>
      </c>
      <c r="C37" t="s">
        <v>10</v>
      </c>
      <c r="D37" s="15" t="str">
        <f t="shared" si="1"/>
        <v>3</v>
      </c>
      <c r="E37" t="s">
        <v>11</v>
      </c>
      <c r="F37" s="14" t="b">
        <f t="shared" si="2"/>
        <v>0</v>
      </c>
      <c r="G37" s="14" t="b">
        <f t="shared" si="2"/>
        <v>1</v>
      </c>
      <c r="H37" s="14" t="b">
        <f t="shared" si="2"/>
        <v>0</v>
      </c>
      <c r="I37" s="14" t="b">
        <f t="shared" si="2"/>
        <v>0</v>
      </c>
      <c r="J37" t="s">
        <v>12</v>
      </c>
      <c r="K37" t="b">
        <f t="shared" si="3"/>
        <v>1</v>
      </c>
      <c r="L37" t="b">
        <f t="shared" si="4"/>
        <v>1</v>
      </c>
      <c r="M37" t="s">
        <v>13</v>
      </c>
      <c r="N37" t="b">
        <f t="shared" si="5"/>
        <v>0</v>
      </c>
      <c r="O37" t="str" cm="1">
        <f t="array" ref="O37">_xlfn.SWITCH(TRUE, ISNUMBER(SEARCH("sleep", M37)), "sleep", ISNUMBER(SEARCH("exercising", M37)), "exercise", ISNUMBER(SEARCH("always", M37)), "always", "never")</f>
        <v>never</v>
      </c>
      <c r="P37" t="s">
        <v>19</v>
      </c>
      <c r="Q37" t="b">
        <f t="shared" si="6"/>
        <v>0</v>
      </c>
      <c r="R37" t="b">
        <f t="shared" si="7"/>
        <v>0</v>
      </c>
      <c r="S37" t="b">
        <f t="shared" si="8"/>
        <v>0</v>
      </c>
      <c r="T37" t="s">
        <v>41</v>
      </c>
      <c r="U37" t="b">
        <f t="shared" si="9"/>
        <v>1</v>
      </c>
      <c r="V37" t="b">
        <f t="shared" si="10"/>
        <v>0</v>
      </c>
      <c r="W37" t="s">
        <v>15</v>
      </c>
      <c r="X37" t="s">
        <v>65</v>
      </c>
    </row>
    <row r="38" spans="1:25" ht="14.25" x14ac:dyDescent="0.2">
      <c r="A38">
        <v>45681.922197743057</v>
      </c>
      <c r="B38" s="4">
        <v>45681.922197743057</v>
      </c>
      <c r="C38" t="s">
        <v>10</v>
      </c>
      <c r="D38" s="15" t="str">
        <f t="shared" si="1"/>
        <v>3</v>
      </c>
      <c r="E38" t="s">
        <v>11</v>
      </c>
      <c r="F38" s="14" t="b">
        <f t="shared" si="2"/>
        <v>0</v>
      </c>
      <c r="G38" s="14" t="b">
        <f t="shared" si="2"/>
        <v>1</v>
      </c>
      <c r="H38" s="14" t="b">
        <f t="shared" si="2"/>
        <v>0</v>
      </c>
      <c r="I38" s="14" t="b">
        <f t="shared" si="2"/>
        <v>0</v>
      </c>
      <c r="J38" t="s">
        <v>12</v>
      </c>
      <c r="K38" t="b">
        <f t="shared" si="3"/>
        <v>1</v>
      </c>
      <c r="L38" t="b">
        <f t="shared" si="4"/>
        <v>1</v>
      </c>
      <c r="M38" t="s">
        <v>31</v>
      </c>
      <c r="N38" t="b">
        <f t="shared" si="5"/>
        <v>1</v>
      </c>
      <c r="O38" t="str" cm="1">
        <f t="array" ref="O38">_xlfn.SWITCH(TRUE, ISNUMBER(SEARCH("sleep", M38)), "sleep", ISNUMBER(SEARCH("exercising", M38)), "exercise", ISNUMBER(SEARCH("always", M38)), "always", "never")</f>
        <v>exercise</v>
      </c>
      <c r="P38" t="s">
        <v>49</v>
      </c>
      <c r="Q38" t="b">
        <f t="shared" si="6"/>
        <v>0</v>
      </c>
      <c r="R38" t="b">
        <f t="shared" si="7"/>
        <v>1</v>
      </c>
      <c r="S38" t="b">
        <f t="shared" si="8"/>
        <v>1</v>
      </c>
      <c r="T38" t="s">
        <v>13</v>
      </c>
      <c r="U38" t="b">
        <f t="shared" si="9"/>
        <v>0</v>
      </c>
      <c r="V38" t="b">
        <f t="shared" si="10"/>
        <v>0</v>
      </c>
    </row>
    <row r="39" spans="1:25" ht="14.25" x14ac:dyDescent="0.2">
      <c r="A39">
        <v>45682.499760752311</v>
      </c>
      <c r="B39" s="7">
        <v>45682.499760752311</v>
      </c>
      <c r="C39" t="s">
        <v>40</v>
      </c>
      <c r="D39" s="15">
        <f t="shared" si="1"/>
        <v>0</v>
      </c>
      <c r="E39" t="s">
        <v>11</v>
      </c>
      <c r="F39" s="14" t="b">
        <f t="shared" si="2"/>
        <v>0</v>
      </c>
      <c r="G39" s="14" t="b">
        <f t="shared" si="2"/>
        <v>1</v>
      </c>
      <c r="H39" s="14" t="b">
        <f t="shared" si="2"/>
        <v>0</v>
      </c>
      <c r="I39" s="14" t="b">
        <f t="shared" si="2"/>
        <v>0</v>
      </c>
      <c r="J39" t="s">
        <v>13</v>
      </c>
      <c r="K39" t="b">
        <f t="shared" si="3"/>
        <v>0</v>
      </c>
      <c r="L39" t="b">
        <f t="shared" si="4"/>
        <v>0</v>
      </c>
      <c r="M39" t="s">
        <v>13</v>
      </c>
      <c r="N39" t="b">
        <f t="shared" si="5"/>
        <v>0</v>
      </c>
      <c r="O39" t="str" cm="1">
        <f t="array" ref="O39">_xlfn.SWITCH(TRUE, ISNUMBER(SEARCH("sleep", M39)), "sleep", ISNUMBER(SEARCH("exercising", M39)), "exercise", ISNUMBER(SEARCH("always", M39)), "always", "never")</f>
        <v>never</v>
      </c>
      <c r="P39" t="s">
        <v>19</v>
      </c>
      <c r="Q39" t="b">
        <f t="shared" si="6"/>
        <v>0</v>
      </c>
      <c r="R39" t="b">
        <f t="shared" si="7"/>
        <v>0</v>
      </c>
      <c r="S39" t="b">
        <f t="shared" si="8"/>
        <v>0</v>
      </c>
      <c r="T39" t="s">
        <v>13</v>
      </c>
      <c r="U39" t="b">
        <f t="shared" si="9"/>
        <v>0</v>
      </c>
      <c r="V39" t="b">
        <f t="shared" si="10"/>
        <v>0</v>
      </c>
      <c r="X39" t="s">
        <v>33</v>
      </c>
    </row>
    <row r="40" spans="1:25" ht="14.25" x14ac:dyDescent="0.2">
      <c r="A40">
        <v>45683.328517453701</v>
      </c>
      <c r="B40" s="4">
        <v>45683.328517453701</v>
      </c>
      <c r="C40" t="s">
        <v>40</v>
      </c>
      <c r="D40" s="15">
        <f t="shared" si="1"/>
        <v>0</v>
      </c>
      <c r="E40" t="s">
        <v>11</v>
      </c>
      <c r="F40" s="14" t="b">
        <f t="shared" si="2"/>
        <v>0</v>
      </c>
      <c r="G40" s="14" t="b">
        <f t="shared" si="2"/>
        <v>1</v>
      </c>
      <c r="H40" s="14" t="b">
        <f t="shared" si="2"/>
        <v>0</v>
      </c>
      <c r="I40" s="14" t="b">
        <f t="shared" si="2"/>
        <v>0</v>
      </c>
      <c r="J40" t="s">
        <v>12</v>
      </c>
      <c r="K40" t="b">
        <f t="shared" si="3"/>
        <v>1</v>
      </c>
      <c r="L40" t="b">
        <f t="shared" si="4"/>
        <v>1</v>
      </c>
      <c r="M40" t="s">
        <v>13</v>
      </c>
      <c r="N40" t="b">
        <f t="shared" si="5"/>
        <v>0</v>
      </c>
      <c r="O40" t="str" cm="1">
        <f t="array" ref="O40">_xlfn.SWITCH(TRUE, ISNUMBER(SEARCH("sleep", M40)), "sleep", ISNUMBER(SEARCH("exercising", M40)), "exercise", ISNUMBER(SEARCH("always", M40)), "always", "never")</f>
        <v>never</v>
      </c>
      <c r="P40" t="s">
        <v>38</v>
      </c>
      <c r="Q40" t="b">
        <f t="shared" si="6"/>
        <v>1</v>
      </c>
      <c r="R40" t="b">
        <f t="shared" si="7"/>
        <v>1</v>
      </c>
      <c r="S40" t="b">
        <f t="shared" si="8"/>
        <v>0</v>
      </c>
      <c r="T40" t="s">
        <v>13</v>
      </c>
      <c r="U40" t="b">
        <f t="shared" si="9"/>
        <v>0</v>
      </c>
      <c r="V40" t="b">
        <f t="shared" si="10"/>
        <v>0</v>
      </c>
      <c r="X40" t="s">
        <v>66</v>
      </c>
    </row>
    <row r="41" spans="1:25" ht="14.25" x14ac:dyDescent="0.2">
      <c r="A41">
        <v>45684.567461863422</v>
      </c>
      <c r="B41" s="7">
        <v>45684.567461863422</v>
      </c>
      <c r="C41" t="s">
        <v>40</v>
      </c>
      <c r="D41" s="15">
        <f t="shared" si="1"/>
        <v>0</v>
      </c>
      <c r="E41" t="s">
        <v>11</v>
      </c>
      <c r="F41" s="14" t="b">
        <f t="shared" si="2"/>
        <v>0</v>
      </c>
      <c r="G41" s="14" t="b">
        <f t="shared" si="2"/>
        <v>1</v>
      </c>
      <c r="H41" s="14" t="b">
        <f t="shared" si="2"/>
        <v>0</v>
      </c>
      <c r="I41" s="14" t="b">
        <f t="shared" si="2"/>
        <v>0</v>
      </c>
      <c r="J41" t="s">
        <v>22</v>
      </c>
      <c r="K41" t="b">
        <f t="shared" si="3"/>
        <v>1</v>
      </c>
      <c r="L41" t="b">
        <f t="shared" si="4"/>
        <v>0</v>
      </c>
      <c r="M41" t="s">
        <v>13</v>
      </c>
      <c r="N41" t="b">
        <f t="shared" si="5"/>
        <v>0</v>
      </c>
      <c r="O41" t="str" cm="1">
        <f t="array" ref="O41">_xlfn.SWITCH(TRUE, ISNUMBER(SEARCH("sleep", M41)), "sleep", ISNUMBER(SEARCH("exercising", M41)), "exercise", ISNUMBER(SEARCH("always", M41)), "always", "never")</f>
        <v>never</v>
      </c>
      <c r="P41" t="s">
        <v>38</v>
      </c>
      <c r="Q41" t="b">
        <f t="shared" si="6"/>
        <v>1</v>
      </c>
      <c r="R41" t="b">
        <f t="shared" si="7"/>
        <v>1</v>
      </c>
      <c r="S41" t="b">
        <f t="shared" si="8"/>
        <v>0</v>
      </c>
      <c r="T41" t="s">
        <v>38</v>
      </c>
      <c r="U41" t="b">
        <f t="shared" si="9"/>
        <v>1</v>
      </c>
      <c r="V41" t="b">
        <f t="shared" si="10"/>
        <v>1</v>
      </c>
      <c r="W41" t="s">
        <v>15</v>
      </c>
      <c r="X41" t="s">
        <v>67</v>
      </c>
    </row>
    <row r="42" spans="1:25" ht="14.25" x14ac:dyDescent="0.2">
      <c r="A42">
        <v>45686.663391539347</v>
      </c>
      <c r="B42" s="4">
        <v>45686.663391539347</v>
      </c>
      <c r="C42" t="s">
        <v>40</v>
      </c>
      <c r="D42" s="15">
        <f t="shared" si="1"/>
        <v>0</v>
      </c>
      <c r="E42" t="s">
        <v>11</v>
      </c>
      <c r="F42" s="14" t="b">
        <f t="shared" si="2"/>
        <v>0</v>
      </c>
      <c r="G42" s="14" t="b">
        <f t="shared" si="2"/>
        <v>1</v>
      </c>
      <c r="H42" s="14" t="b">
        <f t="shared" si="2"/>
        <v>0</v>
      </c>
      <c r="I42" s="14" t="b">
        <f t="shared" si="2"/>
        <v>0</v>
      </c>
      <c r="J42" t="s">
        <v>13</v>
      </c>
      <c r="K42" t="b">
        <f t="shared" si="3"/>
        <v>0</v>
      </c>
      <c r="L42" t="b">
        <f t="shared" si="4"/>
        <v>0</v>
      </c>
      <c r="M42" t="s">
        <v>13</v>
      </c>
      <c r="N42" t="b">
        <f t="shared" si="5"/>
        <v>0</v>
      </c>
      <c r="O42" t="str" cm="1">
        <f t="array" ref="O42">_xlfn.SWITCH(TRUE, ISNUMBER(SEARCH("sleep", M42)), "sleep", ISNUMBER(SEARCH("exercising", M42)), "exercise", ISNUMBER(SEARCH("always", M42)), "always", "never")</f>
        <v>never</v>
      </c>
      <c r="P42" t="s">
        <v>38</v>
      </c>
      <c r="Q42" t="b">
        <f t="shared" si="6"/>
        <v>1</v>
      </c>
      <c r="R42" t="b">
        <f t="shared" si="7"/>
        <v>1</v>
      </c>
      <c r="S42" t="b">
        <f t="shared" si="8"/>
        <v>0</v>
      </c>
      <c r="T42" t="s">
        <v>38</v>
      </c>
      <c r="U42" t="b">
        <f t="shared" si="9"/>
        <v>1</v>
      </c>
      <c r="V42" t="b">
        <f t="shared" si="10"/>
        <v>1</v>
      </c>
      <c r="W42" t="s">
        <v>15</v>
      </c>
      <c r="X42" t="s">
        <v>68</v>
      </c>
    </row>
    <row r="43" spans="1:25" ht="14.25" x14ac:dyDescent="0.2">
      <c r="A43">
        <v>45686.677430983793</v>
      </c>
      <c r="B43" s="7">
        <v>45686.677430983793</v>
      </c>
      <c r="C43" t="s">
        <v>17</v>
      </c>
      <c r="D43" s="15" t="str">
        <f t="shared" si="1"/>
        <v>1</v>
      </c>
      <c r="E43" t="s">
        <v>11</v>
      </c>
      <c r="F43" s="14" t="b">
        <f t="shared" si="2"/>
        <v>0</v>
      </c>
      <c r="G43" s="14" t="b">
        <f t="shared" si="2"/>
        <v>1</v>
      </c>
      <c r="H43" s="14" t="b">
        <f t="shared" si="2"/>
        <v>0</v>
      </c>
      <c r="I43" s="14" t="b">
        <f t="shared" si="2"/>
        <v>0</v>
      </c>
      <c r="J43" t="s">
        <v>22</v>
      </c>
      <c r="K43" t="b">
        <f t="shared" si="3"/>
        <v>1</v>
      </c>
      <c r="L43" t="b">
        <f t="shared" si="4"/>
        <v>0</v>
      </c>
      <c r="M43" t="s">
        <v>13</v>
      </c>
      <c r="N43" t="b">
        <f t="shared" si="5"/>
        <v>0</v>
      </c>
      <c r="O43" t="str" cm="1">
        <f t="array" ref="O43">_xlfn.SWITCH(TRUE, ISNUMBER(SEARCH("sleep", M43)), "sleep", ISNUMBER(SEARCH("exercising", M43)), "exercise", ISNUMBER(SEARCH("always", M43)), "always", "never")</f>
        <v>never</v>
      </c>
      <c r="P43" t="s">
        <v>19</v>
      </c>
      <c r="Q43" t="b">
        <f t="shared" si="6"/>
        <v>0</v>
      </c>
      <c r="R43" t="b">
        <f t="shared" si="7"/>
        <v>0</v>
      </c>
      <c r="S43" t="b">
        <f t="shared" si="8"/>
        <v>0</v>
      </c>
      <c r="T43" t="s">
        <v>13</v>
      </c>
      <c r="U43" t="b">
        <f t="shared" si="9"/>
        <v>0</v>
      </c>
      <c r="V43" t="b">
        <f t="shared" si="10"/>
        <v>0</v>
      </c>
      <c r="X43" t="s">
        <v>27</v>
      </c>
    </row>
    <row r="44" spans="1:25" ht="14.25" x14ac:dyDescent="0.2">
      <c r="A44">
        <v>45686.707806087958</v>
      </c>
      <c r="B44" s="4">
        <v>45686.707806087958</v>
      </c>
      <c r="C44" t="s">
        <v>40</v>
      </c>
      <c r="D44" s="15">
        <f t="shared" si="1"/>
        <v>0</v>
      </c>
      <c r="E44" t="s">
        <v>11</v>
      </c>
      <c r="F44" s="14" t="b">
        <f t="shared" si="2"/>
        <v>0</v>
      </c>
      <c r="G44" s="14" t="b">
        <f t="shared" si="2"/>
        <v>1</v>
      </c>
      <c r="H44" s="14" t="b">
        <f t="shared" si="2"/>
        <v>0</v>
      </c>
      <c r="I44" s="14" t="b">
        <f t="shared" si="2"/>
        <v>0</v>
      </c>
      <c r="J44" t="s">
        <v>12</v>
      </c>
      <c r="K44" t="b">
        <f t="shared" si="3"/>
        <v>1</v>
      </c>
      <c r="L44" t="b">
        <f t="shared" si="4"/>
        <v>1</v>
      </c>
      <c r="M44" t="s">
        <v>13</v>
      </c>
      <c r="N44" t="b">
        <f t="shared" si="5"/>
        <v>0</v>
      </c>
      <c r="O44" t="str" cm="1">
        <f t="array" ref="O44">_xlfn.SWITCH(TRUE, ISNUMBER(SEARCH("sleep", M44)), "sleep", ISNUMBER(SEARCH("exercising", M44)), "exercise", ISNUMBER(SEARCH("always", M44)), "always", "never")</f>
        <v>never</v>
      </c>
      <c r="P44" t="s">
        <v>19</v>
      </c>
      <c r="Q44" t="b">
        <f t="shared" si="6"/>
        <v>0</v>
      </c>
      <c r="R44" t="b">
        <f t="shared" si="7"/>
        <v>0</v>
      </c>
      <c r="S44" t="b">
        <f t="shared" si="8"/>
        <v>0</v>
      </c>
      <c r="T44" t="s">
        <v>13</v>
      </c>
      <c r="U44" t="b">
        <f t="shared" si="9"/>
        <v>0</v>
      </c>
      <c r="V44" t="b">
        <f t="shared" si="10"/>
        <v>0</v>
      </c>
      <c r="X44" t="s">
        <v>66</v>
      </c>
    </row>
    <row r="45" spans="1:25" ht="14.25" x14ac:dyDescent="0.2">
      <c r="A45">
        <v>45687.43021337963</v>
      </c>
      <c r="B45" s="7">
        <v>45687.43021337963</v>
      </c>
      <c r="C45" t="s">
        <v>10</v>
      </c>
      <c r="D45" s="15" t="str">
        <f t="shared" si="1"/>
        <v>3</v>
      </c>
      <c r="E45" t="s">
        <v>21</v>
      </c>
      <c r="F45" s="14" t="b">
        <f t="shared" si="2"/>
        <v>1</v>
      </c>
      <c r="G45" s="14" t="b">
        <f t="shared" si="2"/>
        <v>0</v>
      </c>
      <c r="H45" s="14" t="b">
        <f t="shared" si="2"/>
        <v>0</v>
      </c>
      <c r="I45" s="14" t="b">
        <f t="shared" si="2"/>
        <v>0</v>
      </c>
      <c r="J45" t="s">
        <v>12</v>
      </c>
      <c r="K45" t="b">
        <f t="shared" si="3"/>
        <v>1</v>
      </c>
      <c r="L45" t="b">
        <f t="shared" si="4"/>
        <v>1</v>
      </c>
      <c r="M45" t="s">
        <v>13</v>
      </c>
      <c r="N45" t="b">
        <f t="shared" si="5"/>
        <v>0</v>
      </c>
      <c r="O45" t="str" cm="1">
        <f t="array" ref="O45">_xlfn.SWITCH(TRUE, ISNUMBER(SEARCH("sleep", M45)), "sleep", ISNUMBER(SEARCH("exercising", M45)), "exercise", ISNUMBER(SEARCH("always", M45)), "always", "never")</f>
        <v>never</v>
      </c>
      <c r="P45" t="s">
        <v>19</v>
      </c>
      <c r="Q45" t="b">
        <f t="shared" si="6"/>
        <v>0</v>
      </c>
      <c r="R45" t="b">
        <f t="shared" si="7"/>
        <v>0</v>
      </c>
      <c r="S45" t="b">
        <f t="shared" si="8"/>
        <v>0</v>
      </c>
      <c r="T45" t="s">
        <v>38</v>
      </c>
      <c r="U45" t="b">
        <f t="shared" si="9"/>
        <v>1</v>
      </c>
      <c r="V45" t="b">
        <f t="shared" si="10"/>
        <v>1</v>
      </c>
      <c r="W45" t="s">
        <v>15</v>
      </c>
    </row>
    <row r="46" spans="1:25" ht="14.25" x14ac:dyDescent="0.2">
      <c r="A46">
        <v>45692.384191446763</v>
      </c>
      <c r="B46" s="4">
        <v>45692.384191446763</v>
      </c>
      <c r="C46" t="s">
        <v>40</v>
      </c>
      <c r="D46" s="15">
        <f t="shared" si="1"/>
        <v>0</v>
      </c>
      <c r="E46" t="s">
        <v>21</v>
      </c>
      <c r="F46" s="14" t="b">
        <f t="shared" si="2"/>
        <v>1</v>
      </c>
      <c r="G46" s="14" t="b">
        <f t="shared" si="2"/>
        <v>0</v>
      </c>
      <c r="H46" s="14" t="b">
        <f t="shared" si="2"/>
        <v>0</v>
      </c>
      <c r="I46" s="14" t="b">
        <f t="shared" si="2"/>
        <v>0</v>
      </c>
      <c r="J46" t="s">
        <v>12</v>
      </c>
      <c r="K46" t="b">
        <f t="shared" si="3"/>
        <v>1</v>
      </c>
      <c r="L46" t="b">
        <f t="shared" si="4"/>
        <v>1</v>
      </c>
      <c r="M46" t="s">
        <v>13</v>
      </c>
      <c r="N46" t="b">
        <f t="shared" si="5"/>
        <v>0</v>
      </c>
      <c r="O46" t="str" cm="1">
        <f t="array" ref="O46">_xlfn.SWITCH(TRUE, ISNUMBER(SEARCH("sleep", M46)), "sleep", ISNUMBER(SEARCH("exercising", M46)), "exercise", ISNUMBER(SEARCH("always", M46)), "always", "never")</f>
        <v>never</v>
      </c>
      <c r="P46" t="s">
        <v>19</v>
      </c>
      <c r="Q46" t="b">
        <f t="shared" si="6"/>
        <v>0</v>
      </c>
      <c r="R46" t="b">
        <f t="shared" si="7"/>
        <v>0</v>
      </c>
      <c r="S46" t="b">
        <f t="shared" si="8"/>
        <v>0</v>
      </c>
      <c r="T46" t="s">
        <v>38</v>
      </c>
      <c r="U46" t="b">
        <f t="shared" si="9"/>
        <v>1</v>
      </c>
      <c r="V46" t="b">
        <f t="shared" si="10"/>
        <v>1</v>
      </c>
      <c r="W46" t="s">
        <v>15</v>
      </c>
      <c r="X46" t="s">
        <v>24</v>
      </c>
    </row>
    <row r="47" spans="1:25" ht="14.25" x14ac:dyDescent="0.2">
      <c r="A47">
        <v>45695.495939976856</v>
      </c>
      <c r="B47" s="7">
        <v>45695.495939976856</v>
      </c>
      <c r="C47" t="s">
        <v>10</v>
      </c>
      <c r="D47" s="15" t="str">
        <f t="shared" si="1"/>
        <v>3</v>
      </c>
      <c r="E47" t="s">
        <v>11</v>
      </c>
      <c r="F47" s="14" t="b">
        <f t="shared" si="2"/>
        <v>0</v>
      </c>
      <c r="G47" s="14" t="b">
        <f t="shared" si="2"/>
        <v>1</v>
      </c>
      <c r="H47" s="14" t="b">
        <f t="shared" si="2"/>
        <v>0</v>
      </c>
      <c r="I47" s="14" t="b">
        <f t="shared" si="2"/>
        <v>0</v>
      </c>
      <c r="J47" t="s">
        <v>12</v>
      </c>
      <c r="K47" t="b">
        <f t="shared" si="3"/>
        <v>1</v>
      </c>
      <c r="L47" t="b">
        <f t="shared" si="4"/>
        <v>1</v>
      </c>
      <c r="M47" t="s">
        <v>13</v>
      </c>
      <c r="N47" t="b">
        <f t="shared" si="5"/>
        <v>0</v>
      </c>
      <c r="O47" t="str" cm="1">
        <f t="array" ref="O47">_xlfn.SWITCH(TRUE, ISNUMBER(SEARCH("sleep", M47)), "sleep", ISNUMBER(SEARCH("exercising", M47)), "exercise", ISNUMBER(SEARCH("always", M47)), "always", "never")</f>
        <v>never</v>
      </c>
      <c r="P47" t="s">
        <v>38</v>
      </c>
      <c r="Q47" t="b">
        <f t="shared" si="6"/>
        <v>1</v>
      </c>
      <c r="R47" t="b">
        <f t="shared" si="7"/>
        <v>1</v>
      </c>
      <c r="S47" t="b">
        <f t="shared" si="8"/>
        <v>0</v>
      </c>
      <c r="T47" t="s">
        <v>38</v>
      </c>
      <c r="U47" t="b">
        <f t="shared" si="9"/>
        <v>1</v>
      </c>
      <c r="V47" t="b">
        <f t="shared" si="10"/>
        <v>1</v>
      </c>
      <c r="W47" t="s">
        <v>23</v>
      </c>
      <c r="X47" t="s">
        <v>29</v>
      </c>
    </row>
    <row r="48" spans="1:25" ht="14.25" x14ac:dyDescent="0.2">
      <c r="A48">
        <v>45699.86394210648</v>
      </c>
      <c r="B48" s="4">
        <v>45699.86394210648</v>
      </c>
      <c r="C48" t="s">
        <v>40</v>
      </c>
      <c r="D48" s="15">
        <f t="shared" si="1"/>
        <v>0</v>
      </c>
      <c r="E48" t="s">
        <v>11</v>
      </c>
      <c r="F48" s="14" t="b">
        <f t="shared" si="2"/>
        <v>0</v>
      </c>
      <c r="G48" s="14" t="b">
        <f t="shared" si="2"/>
        <v>1</v>
      </c>
      <c r="H48" s="14" t="b">
        <f t="shared" si="2"/>
        <v>0</v>
      </c>
      <c r="I48" s="14" t="b">
        <f t="shared" si="2"/>
        <v>0</v>
      </c>
      <c r="J48" t="s">
        <v>12</v>
      </c>
      <c r="K48" t="b">
        <f t="shared" si="3"/>
        <v>1</v>
      </c>
      <c r="L48" t="b">
        <f t="shared" si="4"/>
        <v>1</v>
      </c>
      <c r="M48" t="s">
        <v>13</v>
      </c>
      <c r="N48" t="b">
        <f t="shared" si="5"/>
        <v>0</v>
      </c>
      <c r="O48" t="str" cm="1">
        <f t="array" ref="O48">_xlfn.SWITCH(TRUE, ISNUMBER(SEARCH("sleep", M48)), "sleep", ISNUMBER(SEARCH("exercising", M48)), "exercise", ISNUMBER(SEARCH("always", M48)), "always", "never")</f>
        <v>never</v>
      </c>
      <c r="P48" t="s">
        <v>38</v>
      </c>
      <c r="Q48" t="b">
        <f t="shared" si="6"/>
        <v>1</v>
      </c>
      <c r="R48" t="b">
        <f t="shared" si="7"/>
        <v>1</v>
      </c>
      <c r="S48" t="b">
        <f t="shared" si="8"/>
        <v>0</v>
      </c>
      <c r="T48" t="s">
        <v>38</v>
      </c>
      <c r="U48" t="b">
        <f t="shared" si="9"/>
        <v>1</v>
      </c>
      <c r="V48" t="b">
        <f t="shared" si="10"/>
        <v>1</v>
      </c>
      <c r="W48" t="s">
        <v>15</v>
      </c>
      <c r="X48" t="s">
        <v>69</v>
      </c>
    </row>
    <row r="49" spans="1:24" ht="14.25" x14ac:dyDescent="0.2">
      <c r="A49">
        <v>45738.551559270833</v>
      </c>
      <c r="B49" s="10">
        <v>45738.551559270833</v>
      </c>
      <c r="C49" t="s">
        <v>54</v>
      </c>
      <c r="D49" s="15" t="str">
        <f t="shared" si="1"/>
        <v>6</v>
      </c>
      <c r="E49" t="s">
        <v>11</v>
      </c>
      <c r="F49" s="14" t="b">
        <f t="shared" si="2"/>
        <v>0</v>
      </c>
      <c r="G49" s="14" t="b">
        <f t="shared" si="2"/>
        <v>1</v>
      </c>
      <c r="H49" s="14" t="b">
        <f t="shared" si="2"/>
        <v>0</v>
      </c>
      <c r="I49" s="14" t="b">
        <f t="shared" si="2"/>
        <v>0</v>
      </c>
      <c r="J49" t="s">
        <v>22</v>
      </c>
      <c r="K49" t="b">
        <f t="shared" si="3"/>
        <v>1</v>
      </c>
      <c r="L49" t="b">
        <f t="shared" si="4"/>
        <v>0</v>
      </c>
      <c r="M49" t="s">
        <v>13</v>
      </c>
      <c r="N49" t="b">
        <f t="shared" si="5"/>
        <v>0</v>
      </c>
      <c r="O49" t="str" cm="1">
        <f t="array" ref="O49">_xlfn.SWITCH(TRUE, ISNUMBER(SEARCH("sleep", M49)), "sleep", ISNUMBER(SEARCH("exercising", M49)), "exercise", ISNUMBER(SEARCH("always", M49)), "always", "never")</f>
        <v>never</v>
      </c>
      <c r="P49" t="s">
        <v>19</v>
      </c>
      <c r="Q49" t="b">
        <f t="shared" si="6"/>
        <v>0</v>
      </c>
      <c r="R49" t="b">
        <f t="shared" si="7"/>
        <v>0</v>
      </c>
      <c r="S49" t="b">
        <f t="shared" si="8"/>
        <v>0</v>
      </c>
      <c r="T49" t="s">
        <v>38</v>
      </c>
      <c r="U49" t="b">
        <f t="shared" si="9"/>
        <v>1</v>
      </c>
      <c r="V49" t="b">
        <f t="shared" si="10"/>
        <v>1</v>
      </c>
      <c r="W49" t="s">
        <v>15</v>
      </c>
      <c r="X49" t="s">
        <v>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10249-D11E-43A1-8652-983E45798C17}">
  <dimension ref="A1:A49"/>
  <sheetViews>
    <sheetView workbookViewId="0">
      <selection sqref="A1:A1048576"/>
    </sheetView>
  </sheetViews>
  <sheetFormatPr defaultRowHeight="12.75" x14ac:dyDescent="0.2"/>
  <cols>
    <col min="1" max="1" width="18.85546875" customWidth="1"/>
  </cols>
  <sheetData>
    <row r="1" spans="1:1" x14ac:dyDescent="0.2">
      <c r="A1" s="1" t="s">
        <v>0</v>
      </c>
    </row>
    <row r="2" spans="1:1" x14ac:dyDescent="0.2">
      <c r="A2" s="4">
        <v>45678.744763518524</v>
      </c>
    </row>
    <row r="3" spans="1:1" x14ac:dyDescent="0.2">
      <c r="A3" s="7">
        <v>45678.757681898147</v>
      </c>
    </row>
    <row r="4" spans="1:1" x14ac:dyDescent="0.2">
      <c r="A4" s="4">
        <v>45678.786606493057</v>
      </c>
    </row>
    <row r="5" spans="1:1" x14ac:dyDescent="0.2">
      <c r="A5" s="7">
        <v>45678.801338495367</v>
      </c>
    </row>
    <row r="6" spans="1:1" x14ac:dyDescent="0.2">
      <c r="A6" s="4">
        <v>45678.890740416668</v>
      </c>
    </row>
    <row r="7" spans="1:1" x14ac:dyDescent="0.2">
      <c r="A7" s="7">
        <v>45678.913685497682</v>
      </c>
    </row>
    <row r="8" spans="1:1" x14ac:dyDescent="0.2">
      <c r="A8" s="4">
        <v>45679.445971782407</v>
      </c>
    </row>
    <row r="9" spans="1:1" x14ac:dyDescent="0.2">
      <c r="A9" s="7">
        <v>45679.619907847227</v>
      </c>
    </row>
    <row r="10" spans="1:1" x14ac:dyDescent="0.2">
      <c r="A10" s="4">
        <v>45679.714285671296</v>
      </c>
    </row>
    <row r="11" spans="1:1" x14ac:dyDescent="0.2">
      <c r="A11" s="7">
        <v>45679.716964618055</v>
      </c>
    </row>
    <row r="12" spans="1:1" x14ac:dyDescent="0.2">
      <c r="A12" s="4">
        <v>45679.719247673609</v>
      </c>
    </row>
    <row r="13" spans="1:1" x14ac:dyDescent="0.2">
      <c r="A13" s="7">
        <v>45679.719647916667</v>
      </c>
    </row>
    <row r="14" spans="1:1" x14ac:dyDescent="0.2">
      <c r="A14" s="4">
        <v>45679.73025390046</v>
      </c>
    </row>
    <row r="15" spans="1:1" x14ac:dyDescent="0.2">
      <c r="A15" s="7">
        <v>45679.734568912041</v>
      </c>
    </row>
    <row r="16" spans="1:1" x14ac:dyDescent="0.2">
      <c r="A16" s="4">
        <v>45679.736209456023</v>
      </c>
    </row>
    <row r="17" spans="1:1" x14ac:dyDescent="0.2">
      <c r="A17" s="7">
        <v>45679.745117592596</v>
      </c>
    </row>
    <row r="18" spans="1:1" x14ac:dyDescent="0.2">
      <c r="A18" s="4">
        <v>45679.789959467591</v>
      </c>
    </row>
    <row r="19" spans="1:1" x14ac:dyDescent="0.2">
      <c r="A19" s="7">
        <v>45679.856360057871</v>
      </c>
    </row>
    <row r="20" spans="1:1" x14ac:dyDescent="0.2">
      <c r="A20" s="4">
        <v>45679.86601017361</v>
      </c>
    </row>
    <row r="21" spans="1:1" x14ac:dyDescent="0.2">
      <c r="A21" s="7">
        <v>45679.880623263889</v>
      </c>
    </row>
    <row r="22" spans="1:1" x14ac:dyDescent="0.2">
      <c r="A22" s="4">
        <v>45679.892367361113</v>
      </c>
    </row>
    <row r="23" spans="1:1" x14ac:dyDescent="0.2">
      <c r="A23" s="7">
        <v>45679.976412569449</v>
      </c>
    </row>
    <row r="24" spans="1:1" x14ac:dyDescent="0.2">
      <c r="A24" s="4">
        <v>45680.007864884261</v>
      </c>
    </row>
    <row r="25" spans="1:1" x14ac:dyDescent="0.2">
      <c r="A25" s="7">
        <v>45680.320305914356</v>
      </c>
    </row>
    <row r="26" spans="1:1" x14ac:dyDescent="0.2">
      <c r="A26" s="4">
        <v>45680.335879270831</v>
      </c>
    </row>
    <row r="27" spans="1:1" x14ac:dyDescent="0.2">
      <c r="A27" s="7">
        <v>45680.356543807866</v>
      </c>
    </row>
    <row r="28" spans="1:1" x14ac:dyDescent="0.2">
      <c r="A28" s="4">
        <v>45680.367232106481</v>
      </c>
    </row>
    <row r="29" spans="1:1" x14ac:dyDescent="0.2">
      <c r="A29" s="7">
        <v>45680.406850486106</v>
      </c>
    </row>
    <row r="30" spans="1:1" x14ac:dyDescent="0.2">
      <c r="A30" s="4">
        <v>45680.431812222218</v>
      </c>
    </row>
    <row r="31" spans="1:1" x14ac:dyDescent="0.2">
      <c r="A31" s="7">
        <v>45680.441968368061</v>
      </c>
    </row>
    <row r="32" spans="1:1" x14ac:dyDescent="0.2">
      <c r="A32" s="4">
        <v>45680.48148751157</v>
      </c>
    </row>
    <row r="33" spans="1:1" x14ac:dyDescent="0.2">
      <c r="A33" s="7">
        <v>45680.565484942126</v>
      </c>
    </row>
    <row r="34" spans="1:1" x14ac:dyDescent="0.2">
      <c r="A34" s="4">
        <v>45680.618683113426</v>
      </c>
    </row>
    <row r="35" spans="1:1" x14ac:dyDescent="0.2">
      <c r="A35" s="7">
        <v>45680.830201423611</v>
      </c>
    </row>
    <row r="36" spans="1:1" x14ac:dyDescent="0.2">
      <c r="A36" s="4">
        <v>45681.375439791664</v>
      </c>
    </row>
    <row r="37" spans="1:1" x14ac:dyDescent="0.2">
      <c r="A37" s="7">
        <v>45681.725939340278</v>
      </c>
    </row>
    <row r="38" spans="1:1" x14ac:dyDescent="0.2">
      <c r="A38" s="4">
        <v>45681.922197743057</v>
      </c>
    </row>
    <row r="39" spans="1:1" x14ac:dyDescent="0.2">
      <c r="A39" s="7">
        <v>45682.499760752311</v>
      </c>
    </row>
    <row r="40" spans="1:1" x14ac:dyDescent="0.2">
      <c r="A40" s="4">
        <v>45683.328517453701</v>
      </c>
    </row>
    <row r="41" spans="1:1" x14ac:dyDescent="0.2">
      <c r="A41" s="7">
        <v>45684.567461863422</v>
      </c>
    </row>
    <row r="42" spans="1:1" x14ac:dyDescent="0.2">
      <c r="A42" s="4">
        <v>45686.663391539347</v>
      </c>
    </row>
    <row r="43" spans="1:1" x14ac:dyDescent="0.2">
      <c r="A43" s="7">
        <v>45686.677430983793</v>
      </c>
    </row>
    <row r="44" spans="1:1" x14ac:dyDescent="0.2">
      <c r="A44" s="4">
        <v>45686.707806087958</v>
      </c>
    </row>
    <row r="45" spans="1:1" x14ac:dyDescent="0.2">
      <c r="A45" s="7">
        <v>45687.43021337963</v>
      </c>
    </row>
    <row r="46" spans="1:1" x14ac:dyDescent="0.2">
      <c r="A46" s="4">
        <v>45692.384191446763</v>
      </c>
    </row>
    <row r="47" spans="1:1" x14ac:dyDescent="0.2">
      <c r="A47" s="7">
        <v>45695.495939976856</v>
      </c>
    </row>
    <row r="48" spans="1:1" x14ac:dyDescent="0.2">
      <c r="A48" s="4">
        <v>45699.86394210648</v>
      </c>
    </row>
    <row r="49" spans="1:1" x14ac:dyDescent="0.2">
      <c r="A49" s="10">
        <v>45738.551559270833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773F1-8CA8-4EC8-8229-D029136794D4}">
  <dimension ref="A1:Q49"/>
  <sheetViews>
    <sheetView workbookViewId="0">
      <selection activeCell="B3" sqref="B3"/>
    </sheetView>
  </sheetViews>
  <sheetFormatPr defaultRowHeight="12.75" x14ac:dyDescent="0.2"/>
  <cols>
    <col min="1" max="1" width="12" style="16" bestFit="1" customWidth="1"/>
    <col min="2" max="2" width="18.85546875" style="16" customWidth="1"/>
    <col min="3" max="3" width="22.140625" bestFit="1" customWidth="1"/>
    <col min="4" max="4" width="7.5703125" style="15" bestFit="1" customWidth="1"/>
    <col min="5" max="5" width="20.140625" bestFit="1" customWidth="1"/>
    <col min="6" max="6" width="20.140625" customWidth="1"/>
    <col min="7" max="7" width="50" bestFit="1" customWidth="1"/>
    <col min="8" max="8" width="7.5703125" bestFit="1" customWidth="1"/>
    <col min="9" max="9" width="30" bestFit="1" customWidth="1"/>
    <col min="10" max="10" width="18" bestFit="1" customWidth="1"/>
    <col min="11" max="11" width="44.140625" bestFit="1" customWidth="1"/>
    <col min="12" max="12" width="19.140625" bestFit="1" customWidth="1"/>
    <col min="13" max="13" width="40.140625" bestFit="1" customWidth="1"/>
    <col min="14" max="14" width="40.140625" customWidth="1"/>
    <col min="15" max="15" width="16.42578125" bestFit="1" customWidth="1"/>
    <col min="16" max="16" width="20.42578125" bestFit="1" customWidth="1"/>
    <col min="17" max="17" width="255.7109375" bestFit="1" customWidth="1"/>
  </cols>
  <sheetData>
    <row r="1" spans="1:17" x14ac:dyDescent="0.2">
      <c r="A1" s="16" t="s">
        <v>81</v>
      </c>
      <c r="B1" s="17" t="s">
        <v>80</v>
      </c>
      <c r="C1" t="s">
        <v>71</v>
      </c>
      <c r="D1" s="20" t="s">
        <v>71</v>
      </c>
      <c r="E1" t="s">
        <v>72</v>
      </c>
      <c r="F1" s="12" t="s">
        <v>94</v>
      </c>
      <c r="G1" t="s">
        <v>73</v>
      </c>
      <c r="H1" s="12" t="s">
        <v>73</v>
      </c>
      <c r="I1" t="s">
        <v>74</v>
      </c>
      <c r="J1" s="12" t="s">
        <v>74</v>
      </c>
      <c r="K1" t="s">
        <v>75</v>
      </c>
      <c r="L1" s="12" t="s">
        <v>75</v>
      </c>
      <c r="M1" t="s">
        <v>76</v>
      </c>
      <c r="N1" s="12" t="s">
        <v>76</v>
      </c>
      <c r="O1" t="s">
        <v>77</v>
      </c>
      <c r="P1" t="s">
        <v>78</v>
      </c>
      <c r="Q1" t="s">
        <v>79</v>
      </c>
    </row>
    <row r="2" spans="1:17" x14ac:dyDescent="0.2">
      <c r="A2" s="16">
        <v>45678.744763518524</v>
      </c>
      <c r="B2" s="18">
        <v>45678.744763518524</v>
      </c>
      <c r="C2" t="s">
        <v>10</v>
      </c>
      <c r="D2" s="15" t="str">
        <f>IF(LEFT(C2, 1) = "L", 0, LEFT(C2, 1))</f>
        <v>3</v>
      </c>
      <c r="E2" t="s">
        <v>11</v>
      </c>
      <c r="F2" t="str" cm="1">
        <f t="array" ref="F2">_xlfn.SWITCH(E2, "Nature", "nature", "City", "city", "Indoors", "indoors", "other")</f>
        <v>nature</v>
      </c>
      <c r="G2" t="s">
        <v>12</v>
      </c>
      <c r="H2" t="str" cm="1">
        <f t="array" ref="H2">_xlfn.SWITCH(RIGHT(G2, 4), "ion)", "paid", "free", "free", "no")</f>
        <v>paid</v>
      </c>
      <c r="I2" t="s">
        <v>13</v>
      </c>
      <c r="J2" t="str" cm="1">
        <f t="array" ref="J2">_xlfn.SWITCH(RIGHT(I2, 2), "ys", "always", "ng", "exercise", "ds", "sleep", "no")</f>
        <v>no</v>
      </c>
      <c r="K2" t="s">
        <v>14</v>
      </c>
      <c r="L2" t="str" cm="1">
        <f t="array" ref="L2">_xlfn.SWITCH(LEFT(K2, 7), "Yes, bu", "only own headphones", "Yes, ev", "any headphones", "No, I'm", "not interested", "No, I d", "dislikes headphones")</f>
        <v>only own headphones</v>
      </c>
      <c r="M2" t="s">
        <v>14</v>
      </c>
      <c r="N2" t="str" cm="1">
        <f t="array" ref="N2">_xlfn.SWITCH(LEFT(M2, 6), "Yes, b", "only own headphones", "Yes, e", "any headphones", "no")</f>
        <v>only own headphones</v>
      </c>
      <c r="O2" t="s">
        <v>15</v>
      </c>
      <c r="P2" t="s">
        <v>16</v>
      </c>
    </row>
    <row r="3" spans="1:17" x14ac:dyDescent="0.2">
      <c r="A3" s="16">
        <v>45678.757681898147</v>
      </c>
      <c r="B3" s="18">
        <v>45678.757681898147</v>
      </c>
      <c r="C3" t="s">
        <v>17</v>
      </c>
      <c r="D3" s="15" t="str">
        <f t="shared" ref="D3:D49" si="0">IF(LEFT(C3, 1) = "L", 0, LEFT(C3, 1))</f>
        <v>1</v>
      </c>
      <c r="E3" t="s">
        <v>11</v>
      </c>
      <c r="F3" t="str" cm="1">
        <f t="array" ref="F3">_xlfn.SWITCH(E3, "Nature", "nature", "City", "city", "Indoors", "indoors", "other")</f>
        <v>nature</v>
      </c>
      <c r="G3" t="s">
        <v>12</v>
      </c>
      <c r="H3" t="str" cm="1">
        <f t="array" ref="H3">_xlfn.SWITCH(RIGHT(G3, 4), "ion)", "paid", "free", "free", "no")</f>
        <v>paid</v>
      </c>
      <c r="I3" t="s">
        <v>18</v>
      </c>
      <c r="J3" t="str" cm="1">
        <f t="array" ref="J3">_xlfn.SWITCH(RIGHT(I3, 2), "ys", "always", "ng", "exercise", "ds", "sleep", "no")</f>
        <v>sleep</v>
      </c>
      <c r="K3" t="s">
        <v>19</v>
      </c>
      <c r="L3" t="str" cm="1">
        <f t="array" ref="L3">_xlfn.SWITCH(LEFT(K3, 7), "Yes, bu", "only own headphones", "Yes, ev", "any headphones", "No, I'm", "not interested", "No, I d", "dislikes headphones")</f>
        <v>not interested</v>
      </c>
      <c r="M3" t="s">
        <v>14</v>
      </c>
      <c r="N3" t="str" cm="1">
        <f t="array" ref="N3">_xlfn.SWITCH(LEFT(M3, 6), "Yes, b", "only own headphones", "Yes, e", "any headphones", "no")</f>
        <v>only own headphones</v>
      </c>
      <c r="O3" t="s">
        <v>15</v>
      </c>
      <c r="P3" t="s">
        <v>20</v>
      </c>
    </row>
    <row r="4" spans="1:17" x14ac:dyDescent="0.2">
      <c r="A4" s="16">
        <v>45678.786606493057</v>
      </c>
      <c r="B4" s="18">
        <v>45678.786606493057</v>
      </c>
      <c r="C4" t="s">
        <v>17</v>
      </c>
      <c r="D4" s="15" t="str">
        <f t="shared" si="0"/>
        <v>1</v>
      </c>
      <c r="E4" t="s">
        <v>21</v>
      </c>
      <c r="F4" t="str" cm="1">
        <f t="array" ref="F4">_xlfn.SWITCH(E4, "Nature", "nature", "City", "city", "Indoors", "indoors", "other")</f>
        <v>city</v>
      </c>
      <c r="G4" t="s">
        <v>22</v>
      </c>
      <c r="H4" t="str" cm="1">
        <f t="array" ref="H4">_xlfn.SWITCH(RIGHT(G4, 4), "ion)", "paid", "free", "free", "no")</f>
        <v>free</v>
      </c>
      <c r="I4" t="s">
        <v>13</v>
      </c>
      <c r="J4" t="str" cm="1">
        <f t="array" ref="J4">_xlfn.SWITCH(RIGHT(I4, 2), "ys", "always", "ng", "exercise", "ds", "sleep", "no")</f>
        <v>no</v>
      </c>
      <c r="K4" t="s">
        <v>14</v>
      </c>
      <c r="L4" t="str" cm="1">
        <f t="array" ref="L4">_xlfn.SWITCH(LEFT(K4, 7), "Yes, bu", "only own headphones", "Yes, ev", "any headphones", "No, I'm", "not interested", "No, I d", "dislikes headphones")</f>
        <v>only own headphones</v>
      </c>
      <c r="M4" t="s">
        <v>14</v>
      </c>
      <c r="N4" t="str" cm="1">
        <f t="array" ref="N4">_xlfn.SWITCH(LEFT(M4, 6), "Yes, b", "only own headphones", "Yes, e", "any headphones", "no")</f>
        <v>only own headphones</v>
      </c>
      <c r="O4" t="s">
        <v>23</v>
      </c>
      <c r="P4" t="s">
        <v>24</v>
      </c>
      <c r="Q4" t="s">
        <v>13</v>
      </c>
    </row>
    <row r="5" spans="1:17" x14ac:dyDescent="0.2">
      <c r="A5" s="16">
        <v>45678.801338495367</v>
      </c>
      <c r="B5" s="18">
        <v>45678.801338495367</v>
      </c>
      <c r="C5" t="s">
        <v>10</v>
      </c>
      <c r="D5" s="15" t="str">
        <f t="shared" si="0"/>
        <v>3</v>
      </c>
      <c r="E5" t="s">
        <v>11</v>
      </c>
      <c r="F5" t="str" cm="1">
        <f t="array" ref="F5">_xlfn.SWITCH(E5, "Nature", "nature", "City", "city", "Indoors", "indoors", "other")</f>
        <v>nature</v>
      </c>
      <c r="G5" t="s">
        <v>22</v>
      </c>
      <c r="H5" t="str" cm="1">
        <f t="array" ref="H5">_xlfn.SWITCH(RIGHT(G5, 4), "ion)", "paid", "free", "free", "no")</f>
        <v>free</v>
      </c>
      <c r="I5" t="s">
        <v>13</v>
      </c>
      <c r="J5" t="str" cm="1">
        <f t="array" ref="J5">_xlfn.SWITCH(RIGHT(I5, 2), "ys", "always", "ng", "exercise", "ds", "sleep", "no")</f>
        <v>no</v>
      </c>
      <c r="K5" t="s">
        <v>14</v>
      </c>
      <c r="L5" t="str" cm="1">
        <f t="array" ref="L5">_xlfn.SWITCH(LEFT(K5, 7), "Yes, bu", "only own headphones", "Yes, ev", "any headphones", "No, I'm", "not interested", "No, I d", "dislikes headphones")</f>
        <v>only own headphones</v>
      </c>
      <c r="M5" t="s">
        <v>14</v>
      </c>
      <c r="N5" t="str" cm="1">
        <f t="array" ref="N5">_xlfn.SWITCH(LEFT(M5, 6), "Yes, b", "only own headphones", "Yes, e", "any headphones", "no")</f>
        <v>only own headphones</v>
      </c>
      <c r="O5" t="s">
        <v>15</v>
      </c>
      <c r="P5" t="s">
        <v>25</v>
      </c>
    </row>
    <row r="6" spans="1:17" x14ac:dyDescent="0.2">
      <c r="A6" s="16">
        <v>45678.890740416668</v>
      </c>
      <c r="B6" s="18">
        <v>45678.890740416668</v>
      </c>
      <c r="C6" t="s">
        <v>17</v>
      </c>
      <c r="D6" s="15" t="str">
        <f t="shared" si="0"/>
        <v>1</v>
      </c>
      <c r="E6" t="s">
        <v>11</v>
      </c>
      <c r="F6" t="str" cm="1">
        <f t="array" ref="F6">_xlfn.SWITCH(E6, "Nature", "nature", "City", "city", "Indoors", "indoors", "other")</f>
        <v>nature</v>
      </c>
      <c r="G6" t="s">
        <v>22</v>
      </c>
      <c r="H6" t="str" cm="1">
        <f t="array" ref="H6">_xlfn.SWITCH(RIGHT(G6, 4), "ion)", "paid", "free", "free", "no")</f>
        <v>free</v>
      </c>
      <c r="I6" t="s">
        <v>13</v>
      </c>
      <c r="J6" t="str" cm="1">
        <f t="array" ref="J6">_xlfn.SWITCH(RIGHT(I6, 2), "ys", "always", "ng", "exercise", "ds", "sleep", "no")</f>
        <v>no</v>
      </c>
      <c r="K6" t="s">
        <v>19</v>
      </c>
      <c r="L6" t="str" cm="1">
        <f t="array" ref="L6">_xlfn.SWITCH(LEFT(K6, 7), "Yes, bu", "only own headphones", "Yes, ev", "any headphones", "No, I'm", "not interested", "No, I d", "dislikes headphones")</f>
        <v>not interested</v>
      </c>
      <c r="M6" t="s">
        <v>26</v>
      </c>
      <c r="N6" t="str" cm="1">
        <f t="array" ref="N6">_xlfn.SWITCH(LEFT(M6, 6), "Yes, b", "only own headphones", "Yes, e", "any headphones", "no")</f>
        <v>any headphones</v>
      </c>
      <c r="O6" t="s">
        <v>23</v>
      </c>
      <c r="P6" t="s">
        <v>27</v>
      </c>
      <c r="Q6" t="s">
        <v>28</v>
      </c>
    </row>
    <row r="7" spans="1:17" x14ac:dyDescent="0.2">
      <c r="A7" s="16">
        <v>45678.913685497682</v>
      </c>
      <c r="B7" s="18">
        <v>45678.913685497682</v>
      </c>
      <c r="C7" t="s">
        <v>17</v>
      </c>
      <c r="D7" s="15" t="str">
        <f t="shared" si="0"/>
        <v>1</v>
      </c>
      <c r="E7" t="s">
        <v>11</v>
      </c>
      <c r="F7" t="str" cm="1">
        <f t="array" ref="F7">_xlfn.SWITCH(E7, "Nature", "nature", "City", "city", "Indoors", "indoors", "other")</f>
        <v>nature</v>
      </c>
      <c r="G7" t="s">
        <v>12</v>
      </c>
      <c r="H7" t="str" cm="1">
        <f t="array" ref="H7">_xlfn.SWITCH(RIGHT(G7, 4), "ion)", "paid", "free", "free", "no")</f>
        <v>paid</v>
      </c>
      <c r="I7" t="s">
        <v>13</v>
      </c>
      <c r="J7" t="str" cm="1">
        <f t="array" ref="J7">_xlfn.SWITCH(RIGHT(I7, 2), "ys", "always", "ng", "exercise", "ds", "sleep", "no")</f>
        <v>no</v>
      </c>
      <c r="K7" t="s">
        <v>14</v>
      </c>
      <c r="L7" t="str" cm="1">
        <f t="array" ref="L7">_xlfn.SWITCH(LEFT(K7, 7), "Yes, bu", "only own headphones", "Yes, ev", "any headphones", "No, I'm", "not interested", "No, I d", "dislikes headphones")</f>
        <v>only own headphones</v>
      </c>
      <c r="M7" t="s">
        <v>26</v>
      </c>
      <c r="N7" t="str" cm="1">
        <f t="array" ref="N7">_xlfn.SWITCH(LEFT(M7, 6), "Yes, b", "only own headphones", "Yes, e", "any headphones", "no")</f>
        <v>any headphones</v>
      </c>
      <c r="O7" t="s">
        <v>15</v>
      </c>
      <c r="P7" t="s">
        <v>29</v>
      </c>
    </row>
    <row r="8" spans="1:17" x14ac:dyDescent="0.2">
      <c r="A8" s="16">
        <v>45679.445971782407</v>
      </c>
      <c r="B8" s="18">
        <v>45679.445971782407</v>
      </c>
      <c r="C8" t="s">
        <v>10</v>
      </c>
      <c r="D8" s="15" t="str">
        <f t="shared" si="0"/>
        <v>3</v>
      </c>
      <c r="E8" t="s">
        <v>21</v>
      </c>
      <c r="F8" t="str" cm="1">
        <f t="array" ref="F8">_xlfn.SWITCH(E8, "Nature", "nature", "City", "city", "Indoors", "indoors", "other")</f>
        <v>city</v>
      </c>
      <c r="G8" t="s">
        <v>12</v>
      </c>
      <c r="H8" t="str" cm="1">
        <f t="array" ref="H8">_xlfn.SWITCH(RIGHT(G8, 4), "ion)", "paid", "free", "free", "no")</f>
        <v>paid</v>
      </c>
      <c r="I8" t="s">
        <v>13</v>
      </c>
      <c r="J8" t="str" cm="1">
        <f t="array" ref="J8">_xlfn.SWITCH(RIGHT(I8, 2), "ys", "always", "ng", "exercise", "ds", "sleep", "no")</f>
        <v>no</v>
      </c>
      <c r="K8" t="s">
        <v>30</v>
      </c>
      <c r="L8" t="str" cm="1">
        <f t="array" ref="L8">_xlfn.SWITCH(LEFT(K8, 7), "Yes, bu", "only own headphones", "Yes, ev", "any headphones", "No, I'm", "not interested", "No, I d", "dislikes headphones")</f>
        <v>dislikes headphones</v>
      </c>
      <c r="M8" t="s">
        <v>13</v>
      </c>
      <c r="N8" t="str" cm="1">
        <f t="array" ref="N8">_xlfn.SWITCH(LEFT(M8, 6), "Yes, b", "only own headphones", "Yes, e", "any headphones", "no")</f>
        <v>no</v>
      </c>
      <c r="O8" t="s">
        <v>15</v>
      </c>
    </row>
    <row r="9" spans="1:17" x14ac:dyDescent="0.2">
      <c r="A9" s="16">
        <v>45679.619907847227</v>
      </c>
      <c r="B9" s="18">
        <v>45679.619907847227</v>
      </c>
      <c r="C9" t="s">
        <v>10</v>
      </c>
      <c r="D9" s="15" t="str">
        <f t="shared" si="0"/>
        <v>3</v>
      </c>
      <c r="E9" t="s">
        <v>11</v>
      </c>
      <c r="F9" t="str" cm="1">
        <f t="array" ref="F9">_xlfn.SWITCH(E9, "Nature", "nature", "City", "city", "Indoors", "indoors", "other")</f>
        <v>nature</v>
      </c>
      <c r="G9" t="s">
        <v>12</v>
      </c>
      <c r="H9" t="str" cm="1">
        <f t="array" ref="H9">_xlfn.SWITCH(RIGHT(G9, 4), "ion)", "paid", "free", "free", "no")</f>
        <v>paid</v>
      </c>
      <c r="I9" t="s">
        <v>31</v>
      </c>
      <c r="J9" t="str" cm="1">
        <f t="array" ref="J9">_xlfn.SWITCH(RIGHT(I9, 2), "ys", "always", "ng", "exercise", "ds", "sleep", "no")</f>
        <v>exercise</v>
      </c>
      <c r="K9" t="s">
        <v>14</v>
      </c>
      <c r="L9" t="str" cm="1">
        <f t="array" ref="L9">_xlfn.SWITCH(LEFT(K9, 7), "Yes, bu", "only own headphones", "Yes, ev", "any headphones", "No, I'm", "not interested", "No, I d", "dislikes headphones")</f>
        <v>only own headphones</v>
      </c>
      <c r="M9" t="s">
        <v>26</v>
      </c>
      <c r="N9" t="str" cm="1">
        <f t="array" ref="N9">_xlfn.SWITCH(LEFT(M9, 6), "Yes, b", "only own headphones", "Yes, e", "any headphones", "no")</f>
        <v>any headphones</v>
      </c>
      <c r="O9" t="s">
        <v>15</v>
      </c>
      <c r="P9" t="s">
        <v>29</v>
      </c>
    </row>
    <row r="10" spans="1:17" x14ac:dyDescent="0.2">
      <c r="A10" s="16">
        <v>45679.714285671296</v>
      </c>
      <c r="B10" s="18">
        <v>45679.714285671296</v>
      </c>
      <c r="C10" t="s">
        <v>10</v>
      </c>
      <c r="D10" s="15" t="str">
        <f t="shared" si="0"/>
        <v>3</v>
      </c>
      <c r="E10" t="s">
        <v>32</v>
      </c>
      <c r="F10" t="str" cm="1">
        <f t="array" ref="F10">_xlfn.SWITCH(E10, "Nature", "nature", "City", "city", "Indoors", "indoors", "other")</f>
        <v>other</v>
      </c>
      <c r="G10" t="s">
        <v>22</v>
      </c>
      <c r="H10" t="str" cm="1">
        <f t="array" ref="H10">_xlfn.SWITCH(RIGHT(G10, 4), "ion)", "paid", "free", "free", "no")</f>
        <v>free</v>
      </c>
      <c r="I10" t="s">
        <v>13</v>
      </c>
      <c r="J10" t="str" cm="1">
        <f t="array" ref="J10">_xlfn.SWITCH(RIGHT(I10, 2), "ys", "always", "ng", "exercise", "ds", "sleep", "no")</f>
        <v>no</v>
      </c>
      <c r="K10" t="s">
        <v>14</v>
      </c>
      <c r="L10" t="str" cm="1">
        <f t="array" ref="L10">_xlfn.SWITCH(LEFT(K10, 7), "Yes, bu", "only own headphones", "Yes, ev", "any headphones", "No, I'm", "not interested", "No, I d", "dislikes headphones")</f>
        <v>only own headphones</v>
      </c>
      <c r="M10" t="s">
        <v>13</v>
      </c>
      <c r="N10" t="str" cm="1">
        <f t="array" ref="N10">_xlfn.SWITCH(LEFT(M10, 6), "Yes, b", "only own headphones", "Yes, e", "any headphones", "no")</f>
        <v>no</v>
      </c>
      <c r="O10" t="s">
        <v>15</v>
      </c>
      <c r="P10" t="s">
        <v>33</v>
      </c>
    </row>
    <row r="11" spans="1:17" x14ac:dyDescent="0.2">
      <c r="A11" s="16">
        <v>45679.716964618055</v>
      </c>
      <c r="B11" s="18">
        <v>45679.716964618055</v>
      </c>
      <c r="C11" t="s">
        <v>10</v>
      </c>
      <c r="D11" s="15" t="str">
        <f t="shared" si="0"/>
        <v>3</v>
      </c>
      <c r="E11" t="s">
        <v>11</v>
      </c>
      <c r="F11" t="str" cm="1">
        <f t="array" ref="F11">_xlfn.SWITCH(E11, "Nature", "nature", "City", "city", "Indoors", "indoors", "other")</f>
        <v>nature</v>
      </c>
      <c r="G11" t="s">
        <v>22</v>
      </c>
      <c r="H11" t="str" cm="1">
        <f t="array" ref="H11">_xlfn.SWITCH(RIGHT(G11, 4), "ion)", "paid", "free", "free", "no")</f>
        <v>free</v>
      </c>
      <c r="I11" t="s">
        <v>34</v>
      </c>
      <c r="J11" t="str" cm="1">
        <f t="array" ref="J11">_xlfn.SWITCH(RIGHT(I11, 2), "ys", "always", "ng", "exercise", "ds", "sleep", "no")</f>
        <v>always</v>
      </c>
      <c r="K11" t="s">
        <v>26</v>
      </c>
      <c r="L11" t="str" cm="1">
        <f t="array" ref="L11">_xlfn.SWITCH(LEFT(K11, 7), "Yes, bu", "only own headphones", "Yes, ev", "any headphones", "No, I'm", "not interested", "No, I d", "dislikes headphones")</f>
        <v>any headphones</v>
      </c>
      <c r="M11" t="s">
        <v>13</v>
      </c>
      <c r="N11" t="str" cm="1">
        <f t="array" ref="N11">_xlfn.SWITCH(LEFT(M11, 6), "Yes, b", "only own headphones", "Yes, e", "any headphones", "no")</f>
        <v>no</v>
      </c>
      <c r="O11" t="s">
        <v>15</v>
      </c>
      <c r="P11" t="s">
        <v>35</v>
      </c>
    </row>
    <row r="12" spans="1:17" x14ac:dyDescent="0.2">
      <c r="A12" s="16">
        <v>45679.719247673609</v>
      </c>
      <c r="B12" s="18">
        <v>45679.719247673609</v>
      </c>
      <c r="C12" t="s">
        <v>17</v>
      </c>
      <c r="D12" s="15" t="str">
        <f t="shared" si="0"/>
        <v>1</v>
      </c>
      <c r="E12" t="s">
        <v>11</v>
      </c>
      <c r="F12" t="str" cm="1">
        <f t="array" ref="F12">_xlfn.SWITCH(E12, "Nature", "nature", "City", "city", "Indoors", "indoors", "other")</f>
        <v>nature</v>
      </c>
      <c r="G12" t="s">
        <v>22</v>
      </c>
      <c r="H12" t="str" cm="1">
        <f t="array" ref="H12">_xlfn.SWITCH(RIGHT(G12, 4), "ion)", "paid", "free", "free", "no")</f>
        <v>free</v>
      </c>
      <c r="I12" t="s">
        <v>13</v>
      </c>
      <c r="J12" t="str" cm="1">
        <f t="array" ref="J12">_xlfn.SWITCH(RIGHT(I12, 2), "ys", "always", "ng", "exercise", "ds", "sleep", "no")</f>
        <v>no</v>
      </c>
      <c r="K12" t="s">
        <v>14</v>
      </c>
      <c r="L12" t="str" cm="1">
        <f t="array" ref="L12">_xlfn.SWITCH(LEFT(K12, 7), "Yes, bu", "only own headphones", "Yes, ev", "any headphones", "No, I'm", "not interested", "No, I d", "dislikes headphones")</f>
        <v>only own headphones</v>
      </c>
      <c r="M12" t="s">
        <v>14</v>
      </c>
      <c r="N12" t="str" cm="1">
        <f t="array" ref="N12">_xlfn.SWITCH(LEFT(M12, 6), "Yes, b", "only own headphones", "Yes, e", "any headphones", "no")</f>
        <v>only own headphones</v>
      </c>
      <c r="O12" t="s">
        <v>15</v>
      </c>
      <c r="P12" t="s">
        <v>36</v>
      </c>
      <c r="Q12" t="s">
        <v>37</v>
      </c>
    </row>
    <row r="13" spans="1:17" x14ac:dyDescent="0.2">
      <c r="A13" s="16">
        <v>45679.719647916667</v>
      </c>
      <c r="B13" s="18">
        <v>45679.719647916667</v>
      </c>
      <c r="C13" t="s">
        <v>17</v>
      </c>
      <c r="D13" s="15" t="str">
        <f t="shared" si="0"/>
        <v>1</v>
      </c>
      <c r="E13" t="s">
        <v>11</v>
      </c>
      <c r="F13" t="str" cm="1">
        <f t="array" ref="F13">_xlfn.SWITCH(E13, "Nature", "nature", "City", "city", "Indoors", "indoors", "other")</f>
        <v>nature</v>
      </c>
      <c r="G13" t="s">
        <v>12</v>
      </c>
      <c r="H13" t="str" cm="1">
        <f t="array" ref="H13">_xlfn.SWITCH(RIGHT(G13, 4), "ion)", "paid", "free", "free", "no")</f>
        <v>paid</v>
      </c>
      <c r="I13" t="s">
        <v>31</v>
      </c>
      <c r="J13" t="str" cm="1">
        <f t="array" ref="J13">_xlfn.SWITCH(RIGHT(I13, 2), "ys", "always", "ng", "exercise", "ds", "sleep", "no")</f>
        <v>exercise</v>
      </c>
      <c r="K13" t="s">
        <v>30</v>
      </c>
      <c r="L13" t="str" cm="1">
        <f t="array" ref="L13">_xlfn.SWITCH(LEFT(K13, 7), "Yes, bu", "only own headphones", "Yes, ev", "any headphones", "No, I'm", "not interested", "No, I d", "dislikes headphones")</f>
        <v>dislikes headphones</v>
      </c>
      <c r="M13" t="s">
        <v>14</v>
      </c>
      <c r="N13" t="str" cm="1">
        <f t="array" ref="N13">_xlfn.SWITCH(LEFT(M13, 6), "Yes, b", "only own headphones", "Yes, e", "any headphones", "no")</f>
        <v>only own headphones</v>
      </c>
      <c r="O13" t="s">
        <v>15</v>
      </c>
      <c r="P13" t="s">
        <v>33</v>
      </c>
    </row>
    <row r="14" spans="1:17" x14ac:dyDescent="0.2">
      <c r="A14" s="16">
        <v>45679.73025390046</v>
      </c>
      <c r="B14" s="18">
        <v>45679.73025390046</v>
      </c>
      <c r="C14" t="s">
        <v>17</v>
      </c>
      <c r="D14" s="15" t="str">
        <f t="shared" si="0"/>
        <v>1</v>
      </c>
      <c r="E14" t="s">
        <v>11</v>
      </c>
      <c r="F14" t="str" cm="1">
        <f t="array" ref="F14">_xlfn.SWITCH(E14, "Nature", "nature", "City", "city", "Indoors", "indoors", "other")</f>
        <v>nature</v>
      </c>
      <c r="G14" t="s">
        <v>22</v>
      </c>
      <c r="H14" t="str" cm="1">
        <f t="array" ref="H14">_xlfn.SWITCH(RIGHT(G14, 4), "ion)", "paid", "free", "free", "no")</f>
        <v>free</v>
      </c>
      <c r="I14" t="s">
        <v>13</v>
      </c>
      <c r="J14" t="str" cm="1">
        <f t="array" ref="J14">_xlfn.SWITCH(RIGHT(I14, 2), "ys", "always", "ng", "exercise", "ds", "sleep", "no")</f>
        <v>no</v>
      </c>
      <c r="K14" t="s">
        <v>38</v>
      </c>
      <c r="L14" t="str" cm="1">
        <f t="array" ref="L14">_xlfn.SWITCH(LEFT(K14, 7), "Yes, bu", "only own headphones", "Yes, ev", "any headphones", "No, I'm", "not interested", "No, I d", "dislikes headphones")</f>
        <v>only own headphones</v>
      </c>
      <c r="M14" t="s">
        <v>38</v>
      </c>
      <c r="N14" t="str" cm="1">
        <f t="array" ref="N14">_xlfn.SWITCH(LEFT(M14, 6), "Yes, b", "only own headphones", "Yes, e", "any headphones", "no")</f>
        <v>only own headphones</v>
      </c>
      <c r="O14" t="s">
        <v>23</v>
      </c>
      <c r="P14" t="s">
        <v>39</v>
      </c>
    </row>
    <row r="15" spans="1:17" x14ac:dyDescent="0.2">
      <c r="A15" s="16">
        <v>45679.734568912041</v>
      </c>
      <c r="B15" s="18">
        <v>45679.734568912041</v>
      </c>
      <c r="C15" t="s">
        <v>40</v>
      </c>
      <c r="D15" s="15">
        <f t="shared" si="0"/>
        <v>0</v>
      </c>
      <c r="E15" t="s">
        <v>11</v>
      </c>
      <c r="F15" t="str" cm="1">
        <f t="array" ref="F15">_xlfn.SWITCH(E15, "Nature", "nature", "City", "city", "Indoors", "indoors", "other")</f>
        <v>nature</v>
      </c>
      <c r="G15" t="s">
        <v>22</v>
      </c>
      <c r="H15" t="str" cm="1">
        <f t="array" ref="H15">_xlfn.SWITCH(RIGHT(G15, 4), "ion)", "paid", "free", "free", "no")</f>
        <v>free</v>
      </c>
      <c r="I15" t="s">
        <v>13</v>
      </c>
      <c r="J15" t="str" cm="1">
        <f t="array" ref="J15">_xlfn.SWITCH(RIGHT(I15, 2), "ys", "always", "ng", "exercise", "ds", "sleep", "no")</f>
        <v>no</v>
      </c>
      <c r="K15" t="s">
        <v>19</v>
      </c>
      <c r="L15" t="str" cm="1">
        <f t="array" ref="L15">_xlfn.SWITCH(LEFT(K15, 7), "Yes, bu", "only own headphones", "Yes, ev", "any headphones", "No, I'm", "not interested", "No, I d", "dislikes headphones")</f>
        <v>not interested</v>
      </c>
      <c r="M15" t="s">
        <v>41</v>
      </c>
      <c r="N15" t="str" cm="1">
        <f t="array" ref="N15">_xlfn.SWITCH(LEFT(M15, 6), "Yes, b", "only own headphones", "Yes, e", "any headphones", "no")</f>
        <v>any headphones</v>
      </c>
      <c r="O15" t="s">
        <v>15</v>
      </c>
      <c r="P15" t="s">
        <v>33</v>
      </c>
    </row>
    <row r="16" spans="1:17" x14ac:dyDescent="0.2">
      <c r="A16" s="16">
        <v>45679.736209456023</v>
      </c>
      <c r="B16" s="18">
        <v>45679.736209456023</v>
      </c>
      <c r="C16" t="s">
        <v>10</v>
      </c>
      <c r="D16" s="15" t="str">
        <f t="shared" si="0"/>
        <v>3</v>
      </c>
      <c r="E16" t="s">
        <v>11</v>
      </c>
      <c r="F16" t="str" cm="1">
        <f t="array" ref="F16">_xlfn.SWITCH(E16, "Nature", "nature", "City", "city", "Indoors", "indoors", "other")</f>
        <v>nature</v>
      </c>
      <c r="G16" t="s">
        <v>12</v>
      </c>
      <c r="H16" t="str" cm="1">
        <f t="array" ref="H16">_xlfn.SWITCH(RIGHT(G16, 4), "ion)", "paid", "free", "free", "no")</f>
        <v>paid</v>
      </c>
      <c r="I16" t="s">
        <v>34</v>
      </c>
      <c r="J16" t="str" cm="1">
        <f t="array" ref="J16">_xlfn.SWITCH(RIGHT(I16, 2), "ys", "always", "ng", "exercise", "ds", "sleep", "no")</f>
        <v>always</v>
      </c>
      <c r="K16" t="s">
        <v>38</v>
      </c>
      <c r="L16" t="str" cm="1">
        <f t="array" ref="L16">_xlfn.SWITCH(LEFT(K16, 7), "Yes, bu", "only own headphones", "Yes, ev", "any headphones", "No, I'm", "not interested", "No, I d", "dislikes headphones")</f>
        <v>only own headphones</v>
      </c>
      <c r="M16" t="s">
        <v>38</v>
      </c>
      <c r="N16" t="str" cm="1">
        <f t="array" ref="N16">_xlfn.SWITCH(LEFT(M16, 6), "Yes, b", "only own headphones", "Yes, e", "any headphones", "no")</f>
        <v>only own headphones</v>
      </c>
      <c r="O16" t="s">
        <v>15</v>
      </c>
      <c r="P16" t="s">
        <v>42</v>
      </c>
    </row>
    <row r="17" spans="1:17" x14ac:dyDescent="0.2">
      <c r="A17" s="16">
        <v>45679.745117592596</v>
      </c>
      <c r="B17" s="18">
        <v>45679.745117592596</v>
      </c>
      <c r="C17" t="s">
        <v>10</v>
      </c>
      <c r="D17" s="15" t="str">
        <f t="shared" si="0"/>
        <v>3</v>
      </c>
      <c r="E17" t="s">
        <v>11</v>
      </c>
      <c r="F17" t="str" cm="1">
        <f t="array" ref="F17">_xlfn.SWITCH(E17, "Nature", "nature", "City", "city", "Indoors", "indoors", "other")</f>
        <v>nature</v>
      </c>
      <c r="G17" t="s">
        <v>12</v>
      </c>
      <c r="H17" t="str" cm="1">
        <f t="array" ref="H17">_xlfn.SWITCH(RIGHT(G17, 4), "ion)", "paid", "free", "free", "no")</f>
        <v>paid</v>
      </c>
      <c r="I17" t="s">
        <v>13</v>
      </c>
      <c r="J17" t="str" cm="1">
        <f t="array" ref="J17">_xlfn.SWITCH(RIGHT(I17, 2), "ys", "always", "ng", "exercise", "ds", "sleep", "no")</f>
        <v>no</v>
      </c>
      <c r="K17" t="s">
        <v>41</v>
      </c>
      <c r="L17" t="str" cm="1">
        <f t="array" ref="L17">_xlfn.SWITCH(LEFT(K17, 7), "Yes, bu", "only own headphones", "Yes, ev", "any headphones", "No, I'm", "not interested", "No, I d", "dislikes headphones")</f>
        <v>any headphones</v>
      </c>
      <c r="M17" t="s">
        <v>41</v>
      </c>
      <c r="N17" t="str" cm="1">
        <f t="array" ref="N17">_xlfn.SWITCH(LEFT(M17, 6), "Yes, b", "only own headphones", "Yes, e", "any headphones", "no")</f>
        <v>any headphones</v>
      </c>
      <c r="O17" t="s">
        <v>23</v>
      </c>
      <c r="P17" t="s">
        <v>43</v>
      </c>
    </row>
    <row r="18" spans="1:17" x14ac:dyDescent="0.2">
      <c r="A18" s="16">
        <v>45679.789959467591</v>
      </c>
      <c r="B18" s="18">
        <v>45679.789959467591</v>
      </c>
      <c r="C18" t="s">
        <v>40</v>
      </c>
      <c r="D18" s="15">
        <f t="shared" si="0"/>
        <v>0</v>
      </c>
      <c r="E18" t="s">
        <v>11</v>
      </c>
      <c r="F18" t="str" cm="1">
        <f t="array" ref="F18">_xlfn.SWITCH(E18, "Nature", "nature", "City", "city", "Indoors", "indoors", "other")</f>
        <v>nature</v>
      </c>
      <c r="G18" t="s">
        <v>22</v>
      </c>
      <c r="H18" t="str" cm="1">
        <f t="array" ref="H18">_xlfn.SWITCH(RIGHT(G18, 4), "ion)", "paid", "free", "free", "no")</f>
        <v>free</v>
      </c>
      <c r="I18" t="s">
        <v>13</v>
      </c>
      <c r="J18" t="str" cm="1">
        <f t="array" ref="J18">_xlfn.SWITCH(RIGHT(I18, 2), "ys", "always", "ng", "exercise", "ds", "sleep", "no")</f>
        <v>no</v>
      </c>
      <c r="K18" t="s">
        <v>19</v>
      </c>
      <c r="L18" t="str" cm="1">
        <f t="array" ref="L18">_xlfn.SWITCH(LEFT(K18, 7), "Yes, bu", "only own headphones", "Yes, ev", "any headphones", "No, I'm", "not interested", "No, I d", "dislikes headphones")</f>
        <v>not interested</v>
      </c>
      <c r="M18" t="s">
        <v>13</v>
      </c>
      <c r="N18" t="str" cm="1">
        <f t="array" ref="N18">_xlfn.SWITCH(LEFT(M18, 6), "Yes, b", "only own headphones", "Yes, e", "any headphones", "no")</f>
        <v>no</v>
      </c>
      <c r="O18" t="s">
        <v>23</v>
      </c>
      <c r="P18" t="s">
        <v>33</v>
      </c>
    </row>
    <row r="19" spans="1:17" x14ac:dyDescent="0.2">
      <c r="A19" s="16">
        <v>45679.856360057871</v>
      </c>
      <c r="B19" s="18">
        <v>45679.856360057871</v>
      </c>
      <c r="C19" t="s">
        <v>10</v>
      </c>
      <c r="D19" s="15" t="str">
        <f t="shared" si="0"/>
        <v>3</v>
      </c>
      <c r="E19" t="s">
        <v>44</v>
      </c>
      <c r="F19" t="str" cm="1">
        <f t="array" ref="F19">_xlfn.SWITCH(E19, "Nature", "nature", "City", "city", "Indoors", "indoors", "other")</f>
        <v>indoors</v>
      </c>
      <c r="G19" t="s">
        <v>12</v>
      </c>
      <c r="H19" t="str" cm="1">
        <f t="array" ref="H19">_xlfn.SWITCH(RIGHT(G19, 4), "ion)", "paid", "free", "free", "no")</f>
        <v>paid</v>
      </c>
      <c r="I19" t="s">
        <v>13</v>
      </c>
      <c r="J19" t="str" cm="1">
        <f t="array" ref="J19">_xlfn.SWITCH(RIGHT(I19, 2), "ys", "always", "ng", "exercise", "ds", "sleep", "no")</f>
        <v>no</v>
      </c>
      <c r="K19" t="s">
        <v>19</v>
      </c>
      <c r="L19" t="str" cm="1">
        <f t="array" ref="L19">_xlfn.SWITCH(LEFT(K19, 7), "Yes, bu", "only own headphones", "Yes, ev", "any headphones", "No, I'm", "not interested", "No, I d", "dislikes headphones")</f>
        <v>not interested</v>
      </c>
      <c r="M19" t="s">
        <v>13</v>
      </c>
      <c r="N19" t="str" cm="1">
        <f t="array" ref="N19">_xlfn.SWITCH(LEFT(M19, 6), "Yes, b", "only own headphones", "Yes, e", "any headphones", "no")</f>
        <v>no</v>
      </c>
    </row>
    <row r="20" spans="1:17" x14ac:dyDescent="0.2">
      <c r="A20" s="16">
        <v>45679.86601017361</v>
      </c>
      <c r="B20" s="18">
        <v>45679.86601017361</v>
      </c>
      <c r="C20" t="s">
        <v>40</v>
      </c>
      <c r="D20" s="15">
        <f t="shared" si="0"/>
        <v>0</v>
      </c>
      <c r="E20" t="s">
        <v>45</v>
      </c>
      <c r="F20" t="str" cm="1">
        <f t="array" ref="F20">_xlfn.SWITCH(E20, "Nature", "nature", "City", "city", "Indoors", "indoors", "other")</f>
        <v>other</v>
      </c>
      <c r="G20" t="s">
        <v>22</v>
      </c>
      <c r="H20" t="str" cm="1">
        <f t="array" ref="H20">_xlfn.SWITCH(RIGHT(G20, 4), "ion)", "paid", "free", "free", "no")</f>
        <v>free</v>
      </c>
      <c r="I20" t="s">
        <v>13</v>
      </c>
      <c r="J20" t="str" cm="1">
        <f t="array" ref="J20">_xlfn.SWITCH(RIGHT(I20, 2), "ys", "always", "ng", "exercise", "ds", "sleep", "no")</f>
        <v>no</v>
      </c>
      <c r="K20" t="s">
        <v>19</v>
      </c>
      <c r="L20" t="str" cm="1">
        <f t="array" ref="L20">_xlfn.SWITCH(LEFT(K20, 7), "Yes, bu", "only own headphones", "Yes, ev", "any headphones", "No, I'm", "not interested", "No, I d", "dislikes headphones")</f>
        <v>not interested</v>
      </c>
      <c r="M20" t="s">
        <v>13</v>
      </c>
      <c r="N20" t="str" cm="1">
        <f t="array" ref="N20">_xlfn.SWITCH(LEFT(M20, 6), "Yes, b", "only own headphones", "Yes, e", "any headphones", "no")</f>
        <v>no</v>
      </c>
      <c r="P20" t="s">
        <v>46</v>
      </c>
      <c r="Q20" t="s">
        <v>47</v>
      </c>
    </row>
    <row r="21" spans="1:17" x14ac:dyDescent="0.2">
      <c r="A21" s="16">
        <v>45679.880623263889</v>
      </c>
      <c r="B21" s="18">
        <v>45679.880623263889</v>
      </c>
      <c r="C21" t="s">
        <v>17</v>
      </c>
      <c r="D21" s="15" t="str">
        <f t="shared" si="0"/>
        <v>1</v>
      </c>
      <c r="E21" t="s">
        <v>11</v>
      </c>
      <c r="F21" t="str" cm="1">
        <f t="array" ref="F21">_xlfn.SWITCH(E21, "Nature", "nature", "City", "city", "Indoors", "indoors", "other")</f>
        <v>nature</v>
      </c>
      <c r="G21" t="s">
        <v>12</v>
      </c>
      <c r="H21" t="str" cm="1">
        <f t="array" ref="H21">_xlfn.SWITCH(RIGHT(G21, 4), "ion)", "paid", "free", "free", "no")</f>
        <v>paid</v>
      </c>
      <c r="I21" t="s">
        <v>18</v>
      </c>
      <c r="J21" t="str" cm="1">
        <f t="array" ref="J21">_xlfn.SWITCH(RIGHT(I21, 2), "ys", "always", "ng", "exercise", "ds", "sleep", "no")</f>
        <v>sleep</v>
      </c>
      <c r="K21" t="s">
        <v>38</v>
      </c>
      <c r="L21" t="str" cm="1">
        <f t="array" ref="L21">_xlfn.SWITCH(LEFT(K21, 7), "Yes, bu", "only own headphones", "Yes, ev", "any headphones", "No, I'm", "not interested", "No, I d", "dislikes headphones")</f>
        <v>only own headphones</v>
      </c>
      <c r="M21" t="s">
        <v>38</v>
      </c>
      <c r="N21" t="str" cm="1">
        <f t="array" ref="N21">_xlfn.SWITCH(LEFT(M21, 6), "Yes, b", "only own headphones", "Yes, e", "any headphones", "no")</f>
        <v>only own headphones</v>
      </c>
      <c r="O21" t="s">
        <v>15</v>
      </c>
      <c r="P21" t="s">
        <v>48</v>
      </c>
    </row>
    <row r="22" spans="1:17" x14ac:dyDescent="0.2">
      <c r="A22" s="16">
        <v>45679.892367361113</v>
      </c>
      <c r="B22" s="18">
        <v>45679.892367361113</v>
      </c>
      <c r="C22" t="s">
        <v>17</v>
      </c>
      <c r="D22" s="15" t="str">
        <f t="shared" si="0"/>
        <v>1</v>
      </c>
      <c r="E22" t="s">
        <v>11</v>
      </c>
      <c r="F22" t="str" cm="1">
        <f t="array" ref="F22">_xlfn.SWITCH(E22, "Nature", "nature", "City", "city", "Indoors", "indoors", "other")</f>
        <v>nature</v>
      </c>
      <c r="G22" t="s">
        <v>22</v>
      </c>
      <c r="H22" t="str" cm="1">
        <f t="array" ref="H22">_xlfn.SWITCH(RIGHT(G22, 4), "ion)", "paid", "free", "free", "no")</f>
        <v>free</v>
      </c>
      <c r="I22" t="s">
        <v>13</v>
      </c>
      <c r="J22" t="str" cm="1">
        <f t="array" ref="J22">_xlfn.SWITCH(RIGHT(I22, 2), "ys", "always", "ng", "exercise", "ds", "sleep", "no")</f>
        <v>no</v>
      </c>
      <c r="K22" t="s">
        <v>19</v>
      </c>
      <c r="L22" t="str" cm="1">
        <f t="array" ref="L22">_xlfn.SWITCH(LEFT(K22, 7), "Yes, bu", "only own headphones", "Yes, ev", "any headphones", "No, I'm", "not interested", "No, I d", "dislikes headphones")</f>
        <v>not interested</v>
      </c>
      <c r="M22" t="s">
        <v>38</v>
      </c>
      <c r="N22" t="str" cm="1">
        <f t="array" ref="N22">_xlfn.SWITCH(LEFT(M22, 6), "Yes, b", "only own headphones", "Yes, e", "any headphones", "no")</f>
        <v>only own headphones</v>
      </c>
      <c r="O22" t="s">
        <v>23</v>
      </c>
      <c r="P22" t="s">
        <v>33</v>
      </c>
    </row>
    <row r="23" spans="1:17" x14ac:dyDescent="0.2">
      <c r="A23" s="16">
        <v>45679.976412569449</v>
      </c>
      <c r="B23" s="18">
        <v>45679.976412569449</v>
      </c>
      <c r="C23" t="s">
        <v>17</v>
      </c>
      <c r="D23" s="15" t="str">
        <f t="shared" si="0"/>
        <v>1</v>
      </c>
      <c r="E23" t="s">
        <v>11</v>
      </c>
      <c r="F23" t="str" cm="1">
        <f t="array" ref="F23">_xlfn.SWITCH(E23, "Nature", "nature", "City", "city", "Indoors", "indoors", "other")</f>
        <v>nature</v>
      </c>
      <c r="G23" t="s">
        <v>22</v>
      </c>
      <c r="H23" t="str" cm="1">
        <f t="array" ref="H23">_xlfn.SWITCH(RIGHT(G23, 4), "ion)", "paid", "free", "free", "no")</f>
        <v>free</v>
      </c>
      <c r="I23" t="s">
        <v>13</v>
      </c>
      <c r="J23" t="str" cm="1">
        <f t="array" ref="J23">_xlfn.SWITCH(RIGHT(I23, 2), "ys", "always", "ng", "exercise", "ds", "sleep", "no")</f>
        <v>no</v>
      </c>
      <c r="K23" t="s">
        <v>49</v>
      </c>
      <c r="L23" t="str" cm="1">
        <f t="array" ref="L23">_xlfn.SWITCH(LEFT(K23, 7), "Yes, bu", "only own headphones", "Yes, ev", "any headphones", "No, I'm", "not interested", "No, I d", "dislikes headphones")</f>
        <v>dislikes headphones</v>
      </c>
      <c r="M23" t="s">
        <v>13</v>
      </c>
      <c r="N23" t="str" cm="1">
        <f t="array" ref="N23">_xlfn.SWITCH(LEFT(M23, 6), "Yes, b", "only own headphones", "Yes, e", "any headphones", "no")</f>
        <v>no</v>
      </c>
      <c r="P23" t="s">
        <v>50</v>
      </c>
    </row>
    <row r="24" spans="1:17" x14ac:dyDescent="0.2">
      <c r="A24" s="16">
        <v>45680.007864884261</v>
      </c>
      <c r="B24" s="18">
        <v>45680.007864884261</v>
      </c>
      <c r="C24" t="s">
        <v>40</v>
      </c>
      <c r="D24" s="15">
        <f t="shared" si="0"/>
        <v>0</v>
      </c>
      <c r="E24" t="s">
        <v>11</v>
      </c>
      <c r="F24" t="str" cm="1">
        <f t="array" ref="F24">_xlfn.SWITCH(E24, "Nature", "nature", "City", "city", "Indoors", "indoors", "other")</f>
        <v>nature</v>
      </c>
      <c r="G24" t="s">
        <v>13</v>
      </c>
      <c r="H24" t="str" cm="1">
        <f t="array" ref="H24">_xlfn.SWITCH(RIGHT(G24, 4), "ion)", "paid", "free", "free", "no")</f>
        <v>no</v>
      </c>
      <c r="I24" t="s">
        <v>13</v>
      </c>
      <c r="J24" t="str" cm="1">
        <f t="array" ref="J24">_xlfn.SWITCH(RIGHT(I24, 2), "ys", "always", "ng", "exercise", "ds", "sleep", "no")</f>
        <v>no</v>
      </c>
      <c r="K24" t="s">
        <v>19</v>
      </c>
      <c r="L24" t="str" cm="1">
        <f t="array" ref="L24">_xlfn.SWITCH(LEFT(K24, 7), "Yes, bu", "only own headphones", "Yes, ev", "any headphones", "No, I'm", "not interested", "No, I d", "dislikes headphones")</f>
        <v>not interested</v>
      </c>
      <c r="M24" t="s">
        <v>13</v>
      </c>
      <c r="N24" t="str" cm="1">
        <f t="array" ref="N24">_xlfn.SWITCH(LEFT(M24, 6), "Yes, b", "only own headphones", "Yes, e", "any headphones", "no")</f>
        <v>no</v>
      </c>
      <c r="P24" t="s">
        <v>33</v>
      </c>
    </row>
    <row r="25" spans="1:17" x14ac:dyDescent="0.2">
      <c r="A25" s="16">
        <v>45680.320305914356</v>
      </c>
      <c r="B25" s="18">
        <v>45680.320305914356</v>
      </c>
      <c r="C25" t="s">
        <v>17</v>
      </c>
      <c r="D25" s="15" t="str">
        <f t="shared" si="0"/>
        <v>1</v>
      </c>
      <c r="E25" t="s">
        <v>21</v>
      </c>
      <c r="F25" t="str" cm="1">
        <f t="array" ref="F25">_xlfn.SWITCH(E25, "Nature", "nature", "City", "city", "Indoors", "indoors", "other")</f>
        <v>city</v>
      </c>
      <c r="G25" t="s">
        <v>22</v>
      </c>
      <c r="H25" t="str" cm="1">
        <f t="array" ref="H25">_xlfn.SWITCH(RIGHT(G25, 4), "ion)", "paid", "free", "free", "no")</f>
        <v>free</v>
      </c>
      <c r="I25" t="s">
        <v>13</v>
      </c>
      <c r="J25" t="str" cm="1">
        <f t="array" ref="J25">_xlfn.SWITCH(RIGHT(I25, 2), "ys", "always", "ng", "exercise", "ds", "sleep", "no")</f>
        <v>no</v>
      </c>
      <c r="K25" t="s">
        <v>49</v>
      </c>
      <c r="L25" t="str" cm="1">
        <f t="array" ref="L25">_xlfn.SWITCH(LEFT(K25, 7), "Yes, bu", "only own headphones", "Yes, ev", "any headphones", "No, I'm", "not interested", "No, I d", "dislikes headphones")</f>
        <v>dislikes headphones</v>
      </c>
      <c r="M25" t="s">
        <v>13</v>
      </c>
      <c r="N25" t="str" cm="1">
        <f t="array" ref="N25">_xlfn.SWITCH(LEFT(M25, 6), "Yes, b", "only own headphones", "Yes, e", "any headphones", "no")</f>
        <v>no</v>
      </c>
      <c r="P25" t="s">
        <v>16</v>
      </c>
    </row>
    <row r="26" spans="1:17" x14ac:dyDescent="0.2">
      <c r="A26" s="16">
        <v>45680.335879270831</v>
      </c>
      <c r="B26" s="18">
        <v>45680.335879270831</v>
      </c>
      <c r="C26" t="s">
        <v>40</v>
      </c>
      <c r="D26" s="15">
        <f t="shared" si="0"/>
        <v>0</v>
      </c>
      <c r="E26" t="s">
        <v>11</v>
      </c>
      <c r="F26" t="str" cm="1">
        <f t="array" ref="F26">_xlfn.SWITCH(E26, "Nature", "nature", "City", "city", "Indoors", "indoors", "other")</f>
        <v>nature</v>
      </c>
      <c r="G26" t="s">
        <v>22</v>
      </c>
      <c r="H26" t="str" cm="1">
        <f t="array" ref="H26">_xlfn.SWITCH(RIGHT(G26, 4), "ion)", "paid", "free", "free", "no")</f>
        <v>free</v>
      </c>
      <c r="I26" t="s">
        <v>18</v>
      </c>
      <c r="J26" t="str" cm="1">
        <f t="array" ref="J26">_xlfn.SWITCH(RIGHT(I26, 2), "ys", "always", "ng", "exercise", "ds", "sleep", "no")</f>
        <v>sleep</v>
      </c>
      <c r="K26" t="s">
        <v>41</v>
      </c>
      <c r="L26" t="str" cm="1">
        <f t="array" ref="L26">_xlfn.SWITCH(LEFT(K26, 7), "Yes, bu", "only own headphones", "Yes, ev", "any headphones", "No, I'm", "not interested", "No, I d", "dislikes headphones")</f>
        <v>any headphones</v>
      </c>
      <c r="M26" t="s">
        <v>41</v>
      </c>
      <c r="N26" t="str" cm="1">
        <f t="array" ref="N26">_xlfn.SWITCH(LEFT(M26, 6), "Yes, b", "only own headphones", "Yes, e", "any headphones", "no")</f>
        <v>any headphones</v>
      </c>
      <c r="O26" t="s">
        <v>15</v>
      </c>
      <c r="P26" t="s">
        <v>51</v>
      </c>
    </row>
    <row r="27" spans="1:17" x14ac:dyDescent="0.2">
      <c r="A27" s="16">
        <v>45680.356543807866</v>
      </c>
      <c r="B27" s="18">
        <v>45680.356543807866</v>
      </c>
      <c r="C27" t="s">
        <v>40</v>
      </c>
      <c r="D27" s="15">
        <f t="shared" si="0"/>
        <v>0</v>
      </c>
      <c r="E27" t="s">
        <v>11</v>
      </c>
      <c r="F27" t="str" cm="1">
        <f t="array" ref="F27">_xlfn.SWITCH(E27, "Nature", "nature", "City", "city", "Indoors", "indoors", "other")</f>
        <v>nature</v>
      </c>
      <c r="G27" t="s">
        <v>12</v>
      </c>
      <c r="H27" t="str" cm="1">
        <f t="array" ref="H27">_xlfn.SWITCH(RIGHT(G27, 4), "ion)", "paid", "free", "free", "no")</f>
        <v>paid</v>
      </c>
      <c r="I27" t="s">
        <v>13</v>
      </c>
      <c r="J27" t="str" cm="1">
        <f t="array" ref="J27">_xlfn.SWITCH(RIGHT(I27, 2), "ys", "always", "ng", "exercise", "ds", "sleep", "no")</f>
        <v>no</v>
      </c>
      <c r="K27" t="s">
        <v>38</v>
      </c>
      <c r="L27" t="str" cm="1">
        <f t="array" ref="L27">_xlfn.SWITCH(LEFT(K27, 7), "Yes, bu", "only own headphones", "Yes, ev", "any headphones", "No, I'm", "not interested", "No, I d", "dislikes headphones")</f>
        <v>only own headphones</v>
      </c>
      <c r="M27" t="s">
        <v>38</v>
      </c>
      <c r="N27" t="str" cm="1">
        <f t="array" ref="N27">_xlfn.SWITCH(LEFT(M27, 6), "Yes, b", "only own headphones", "Yes, e", "any headphones", "no")</f>
        <v>only own headphones</v>
      </c>
      <c r="O27" t="s">
        <v>23</v>
      </c>
      <c r="P27" t="s">
        <v>52</v>
      </c>
    </row>
    <row r="28" spans="1:17" x14ac:dyDescent="0.2">
      <c r="A28" s="16">
        <v>45680.367232106481</v>
      </c>
      <c r="B28" s="18">
        <v>45680.367232106481</v>
      </c>
      <c r="C28" t="s">
        <v>10</v>
      </c>
      <c r="D28" s="15" t="str">
        <f t="shared" si="0"/>
        <v>3</v>
      </c>
      <c r="E28" t="s">
        <v>11</v>
      </c>
      <c r="F28" t="str" cm="1">
        <f t="array" ref="F28">_xlfn.SWITCH(E28, "Nature", "nature", "City", "city", "Indoors", "indoors", "other")</f>
        <v>nature</v>
      </c>
      <c r="G28" t="s">
        <v>12</v>
      </c>
      <c r="H28" t="str" cm="1">
        <f t="array" ref="H28">_xlfn.SWITCH(RIGHT(G28, 4), "ion)", "paid", "free", "free", "no")</f>
        <v>paid</v>
      </c>
      <c r="I28" t="s">
        <v>34</v>
      </c>
      <c r="J28" t="str" cm="1">
        <f t="array" ref="J28">_xlfn.SWITCH(RIGHT(I28, 2), "ys", "always", "ng", "exercise", "ds", "sleep", "no")</f>
        <v>always</v>
      </c>
      <c r="K28" t="s">
        <v>19</v>
      </c>
      <c r="L28" t="str" cm="1">
        <f t="array" ref="L28">_xlfn.SWITCH(LEFT(K28, 7), "Yes, bu", "only own headphones", "Yes, ev", "any headphones", "No, I'm", "not interested", "No, I d", "dislikes headphones")</f>
        <v>not interested</v>
      </c>
      <c r="M28" t="s">
        <v>38</v>
      </c>
      <c r="N28" t="str" cm="1">
        <f t="array" ref="N28">_xlfn.SWITCH(LEFT(M28, 6), "Yes, b", "only own headphones", "Yes, e", "any headphones", "no")</f>
        <v>only own headphones</v>
      </c>
      <c r="O28" t="s">
        <v>15</v>
      </c>
      <c r="P28" t="s">
        <v>33</v>
      </c>
      <c r="Q28" t="s">
        <v>53</v>
      </c>
    </row>
    <row r="29" spans="1:17" x14ac:dyDescent="0.2">
      <c r="A29" s="16">
        <v>45680.406850486106</v>
      </c>
      <c r="B29" s="18">
        <v>45680.406850486106</v>
      </c>
      <c r="C29" t="s">
        <v>54</v>
      </c>
      <c r="D29" s="15" t="str">
        <f t="shared" si="0"/>
        <v>6</v>
      </c>
      <c r="E29" t="s">
        <v>11</v>
      </c>
      <c r="F29" t="str" cm="1">
        <f t="array" ref="F29">_xlfn.SWITCH(E29, "Nature", "nature", "City", "city", "Indoors", "indoors", "other")</f>
        <v>nature</v>
      </c>
      <c r="G29" t="s">
        <v>22</v>
      </c>
      <c r="H29" t="str" cm="1">
        <f t="array" ref="H29">_xlfn.SWITCH(RIGHT(G29, 4), "ion)", "paid", "free", "free", "no")</f>
        <v>free</v>
      </c>
      <c r="I29" t="s">
        <v>13</v>
      </c>
      <c r="J29" t="str" cm="1">
        <f t="array" ref="J29">_xlfn.SWITCH(RIGHT(I29, 2), "ys", "always", "ng", "exercise", "ds", "sleep", "no")</f>
        <v>no</v>
      </c>
      <c r="K29" t="s">
        <v>49</v>
      </c>
      <c r="L29" t="str" cm="1">
        <f t="array" ref="L29">_xlfn.SWITCH(LEFT(K29, 7), "Yes, bu", "only own headphones", "Yes, ev", "any headphones", "No, I'm", "not interested", "No, I d", "dislikes headphones")</f>
        <v>dislikes headphones</v>
      </c>
      <c r="M29" t="s">
        <v>38</v>
      </c>
      <c r="N29" t="str" cm="1">
        <f t="array" ref="N29">_xlfn.SWITCH(LEFT(M29, 6), "Yes, b", "only own headphones", "Yes, e", "any headphones", "no")</f>
        <v>only own headphones</v>
      </c>
      <c r="O29" t="s">
        <v>23</v>
      </c>
      <c r="P29" t="s">
        <v>55</v>
      </c>
    </row>
    <row r="30" spans="1:17" x14ac:dyDescent="0.2">
      <c r="A30" s="16">
        <v>45680.431812222218</v>
      </c>
      <c r="B30" s="18">
        <v>45680.431812222218</v>
      </c>
      <c r="C30" t="s">
        <v>17</v>
      </c>
      <c r="D30" s="15" t="str">
        <f t="shared" si="0"/>
        <v>1</v>
      </c>
      <c r="E30" t="s">
        <v>11</v>
      </c>
      <c r="F30" t="str" cm="1">
        <f t="array" ref="F30">_xlfn.SWITCH(E30, "Nature", "nature", "City", "city", "Indoors", "indoors", "other")</f>
        <v>nature</v>
      </c>
      <c r="G30" t="s">
        <v>22</v>
      </c>
      <c r="H30" t="str" cm="1">
        <f t="array" ref="H30">_xlfn.SWITCH(RIGHT(G30, 4), "ion)", "paid", "free", "free", "no")</f>
        <v>free</v>
      </c>
      <c r="I30" t="s">
        <v>13</v>
      </c>
      <c r="J30" t="str" cm="1">
        <f t="array" ref="J30">_xlfn.SWITCH(RIGHT(I30, 2), "ys", "always", "ng", "exercise", "ds", "sleep", "no")</f>
        <v>no</v>
      </c>
      <c r="K30" t="s">
        <v>38</v>
      </c>
      <c r="L30" t="str" cm="1">
        <f t="array" ref="L30">_xlfn.SWITCH(LEFT(K30, 7), "Yes, bu", "only own headphones", "Yes, ev", "any headphones", "No, I'm", "not interested", "No, I d", "dislikes headphones")</f>
        <v>only own headphones</v>
      </c>
      <c r="M30" t="s">
        <v>38</v>
      </c>
      <c r="N30" t="str" cm="1">
        <f t="array" ref="N30">_xlfn.SWITCH(LEFT(M30, 6), "Yes, b", "only own headphones", "Yes, e", "any headphones", "no")</f>
        <v>only own headphones</v>
      </c>
      <c r="O30" t="s">
        <v>15</v>
      </c>
      <c r="P30" t="s">
        <v>56</v>
      </c>
      <c r="Q30" t="s">
        <v>57</v>
      </c>
    </row>
    <row r="31" spans="1:17" x14ac:dyDescent="0.2">
      <c r="A31" s="16">
        <v>45680.441968368061</v>
      </c>
      <c r="B31" s="18">
        <v>45680.441968368061</v>
      </c>
      <c r="C31" t="s">
        <v>17</v>
      </c>
      <c r="D31" s="15" t="str">
        <f t="shared" si="0"/>
        <v>1</v>
      </c>
      <c r="E31" t="s">
        <v>11</v>
      </c>
      <c r="F31" t="str" cm="1">
        <f t="array" ref="F31">_xlfn.SWITCH(E31, "Nature", "nature", "City", "city", "Indoors", "indoors", "other")</f>
        <v>nature</v>
      </c>
      <c r="G31" t="s">
        <v>22</v>
      </c>
      <c r="H31" t="str" cm="1">
        <f t="array" ref="H31">_xlfn.SWITCH(RIGHT(G31, 4), "ion)", "paid", "free", "free", "no")</f>
        <v>free</v>
      </c>
      <c r="I31" t="s">
        <v>13</v>
      </c>
      <c r="J31" t="str" cm="1">
        <f t="array" ref="J31">_xlfn.SWITCH(RIGHT(I31, 2), "ys", "always", "ng", "exercise", "ds", "sleep", "no")</f>
        <v>no</v>
      </c>
      <c r="K31" t="s">
        <v>38</v>
      </c>
      <c r="L31" t="str" cm="1">
        <f t="array" ref="L31">_xlfn.SWITCH(LEFT(K31, 7), "Yes, bu", "only own headphones", "Yes, ev", "any headphones", "No, I'm", "not interested", "No, I d", "dislikes headphones")</f>
        <v>only own headphones</v>
      </c>
      <c r="M31" t="s">
        <v>38</v>
      </c>
      <c r="N31" t="str" cm="1">
        <f t="array" ref="N31">_xlfn.SWITCH(LEFT(M31, 6), "Yes, b", "only own headphones", "Yes, e", "any headphones", "no")</f>
        <v>only own headphones</v>
      </c>
      <c r="O31" t="s">
        <v>15</v>
      </c>
      <c r="P31" t="s">
        <v>58</v>
      </c>
    </row>
    <row r="32" spans="1:17" x14ac:dyDescent="0.2">
      <c r="A32" s="16">
        <v>45680.48148751157</v>
      </c>
      <c r="B32" s="18">
        <v>45680.48148751157</v>
      </c>
      <c r="C32" t="s">
        <v>17</v>
      </c>
      <c r="D32" s="15" t="str">
        <f t="shared" si="0"/>
        <v>1</v>
      </c>
      <c r="E32" t="s">
        <v>11</v>
      </c>
      <c r="F32" t="str" cm="1">
        <f t="array" ref="F32">_xlfn.SWITCH(E32, "Nature", "nature", "City", "city", "Indoors", "indoors", "other")</f>
        <v>nature</v>
      </c>
      <c r="G32" t="s">
        <v>12</v>
      </c>
      <c r="H32" t="str" cm="1">
        <f t="array" ref="H32">_xlfn.SWITCH(RIGHT(G32, 4), "ion)", "paid", "free", "free", "no")</f>
        <v>paid</v>
      </c>
      <c r="I32" t="s">
        <v>13</v>
      </c>
      <c r="J32" t="str" cm="1">
        <f t="array" ref="J32">_xlfn.SWITCH(RIGHT(I32, 2), "ys", "always", "ng", "exercise", "ds", "sleep", "no")</f>
        <v>no</v>
      </c>
      <c r="K32" t="s">
        <v>38</v>
      </c>
      <c r="L32" t="str" cm="1">
        <f t="array" ref="L32">_xlfn.SWITCH(LEFT(K32, 7), "Yes, bu", "only own headphones", "Yes, ev", "any headphones", "No, I'm", "not interested", "No, I d", "dislikes headphones")</f>
        <v>only own headphones</v>
      </c>
      <c r="M32" t="s">
        <v>38</v>
      </c>
      <c r="N32" t="str" cm="1">
        <f t="array" ref="N32">_xlfn.SWITCH(LEFT(M32, 6), "Yes, b", "only own headphones", "Yes, e", "any headphones", "no")</f>
        <v>only own headphones</v>
      </c>
      <c r="O32" t="s">
        <v>23</v>
      </c>
      <c r="P32" t="s">
        <v>59</v>
      </c>
    </row>
    <row r="33" spans="1:17" x14ac:dyDescent="0.2">
      <c r="A33" s="16">
        <v>45680.565484942126</v>
      </c>
      <c r="B33" s="18">
        <v>45680.565484942126</v>
      </c>
      <c r="C33" t="s">
        <v>54</v>
      </c>
      <c r="D33" s="15" t="str">
        <f t="shared" si="0"/>
        <v>6</v>
      </c>
      <c r="E33" t="s">
        <v>11</v>
      </c>
      <c r="F33" t="str" cm="1">
        <f t="array" ref="F33">_xlfn.SWITCH(E33, "Nature", "nature", "City", "city", "Indoors", "indoors", "other")</f>
        <v>nature</v>
      </c>
      <c r="G33" t="s">
        <v>22</v>
      </c>
      <c r="H33" t="str" cm="1">
        <f t="array" ref="H33">_xlfn.SWITCH(RIGHT(G33, 4), "ion)", "paid", "free", "free", "no")</f>
        <v>free</v>
      </c>
      <c r="I33" t="s">
        <v>31</v>
      </c>
      <c r="J33" t="str" cm="1">
        <f t="array" ref="J33">_xlfn.SWITCH(RIGHT(I33, 2), "ys", "always", "ng", "exercise", "ds", "sleep", "no")</f>
        <v>exercise</v>
      </c>
      <c r="K33" t="s">
        <v>38</v>
      </c>
      <c r="L33" t="str" cm="1">
        <f t="array" ref="L33">_xlfn.SWITCH(LEFT(K33, 7), "Yes, bu", "only own headphones", "Yes, ev", "any headphones", "No, I'm", "not interested", "No, I d", "dislikes headphones")</f>
        <v>only own headphones</v>
      </c>
      <c r="M33" t="s">
        <v>38</v>
      </c>
      <c r="N33" t="str" cm="1">
        <f t="array" ref="N33">_xlfn.SWITCH(LEFT(M33, 6), "Yes, b", "only own headphones", "Yes, e", "any headphones", "no")</f>
        <v>only own headphones</v>
      </c>
      <c r="O33" t="s">
        <v>23</v>
      </c>
      <c r="P33" t="s">
        <v>33</v>
      </c>
    </row>
    <row r="34" spans="1:17" x14ac:dyDescent="0.2">
      <c r="A34" s="16">
        <v>45680.618683113426</v>
      </c>
      <c r="B34" s="18">
        <v>45680.618683113426</v>
      </c>
      <c r="C34" t="s">
        <v>54</v>
      </c>
      <c r="D34" s="15" t="str">
        <f t="shared" si="0"/>
        <v>6</v>
      </c>
      <c r="E34" t="s">
        <v>60</v>
      </c>
      <c r="F34" t="str" cm="1">
        <f t="array" ref="F34">_xlfn.SWITCH(E34, "Nature", "nature", "City", "city", "Indoors", "indoors", "other")</f>
        <v>other</v>
      </c>
      <c r="G34" t="s">
        <v>12</v>
      </c>
      <c r="H34" t="str" cm="1">
        <f t="array" ref="H34">_xlfn.SWITCH(RIGHT(G34, 4), "ion)", "paid", "free", "free", "no")</f>
        <v>paid</v>
      </c>
      <c r="I34" t="s">
        <v>34</v>
      </c>
      <c r="J34" t="str" cm="1">
        <f t="array" ref="J34">_xlfn.SWITCH(RIGHT(I34, 2), "ys", "always", "ng", "exercise", "ds", "sleep", "no")</f>
        <v>always</v>
      </c>
      <c r="K34" t="s">
        <v>49</v>
      </c>
      <c r="L34" t="str" cm="1">
        <f t="array" ref="L34">_xlfn.SWITCH(LEFT(K34, 7), "Yes, bu", "only own headphones", "Yes, ev", "any headphones", "No, I'm", "not interested", "No, I d", "dislikes headphones")</f>
        <v>dislikes headphones</v>
      </c>
      <c r="M34" t="s">
        <v>13</v>
      </c>
      <c r="N34" t="str" cm="1">
        <f t="array" ref="N34">_xlfn.SWITCH(LEFT(M34, 6), "Yes, b", "only own headphones", "Yes, e", "any headphones", "no")</f>
        <v>no</v>
      </c>
      <c r="P34" t="s">
        <v>61</v>
      </c>
      <c r="Q34" t="s">
        <v>62</v>
      </c>
    </row>
    <row r="35" spans="1:17" x14ac:dyDescent="0.2">
      <c r="A35" s="16">
        <v>45680.830201423611</v>
      </c>
      <c r="B35" s="18">
        <v>45680.830201423611</v>
      </c>
      <c r="C35" t="s">
        <v>17</v>
      </c>
      <c r="D35" s="15" t="str">
        <f t="shared" si="0"/>
        <v>1</v>
      </c>
      <c r="E35" t="s">
        <v>11</v>
      </c>
      <c r="F35" t="str" cm="1">
        <f t="array" ref="F35">_xlfn.SWITCH(E35, "Nature", "nature", "City", "city", "Indoors", "indoors", "other")</f>
        <v>nature</v>
      </c>
      <c r="G35" t="s">
        <v>22</v>
      </c>
      <c r="H35" t="str" cm="1">
        <f t="array" ref="H35">_xlfn.SWITCH(RIGHT(G35, 4), "ion)", "paid", "free", "free", "no")</f>
        <v>free</v>
      </c>
      <c r="I35" t="s">
        <v>13</v>
      </c>
      <c r="J35" t="str" cm="1">
        <f t="array" ref="J35">_xlfn.SWITCH(RIGHT(I35, 2), "ys", "always", "ng", "exercise", "ds", "sleep", "no")</f>
        <v>no</v>
      </c>
      <c r="K35" t="s">
        <v>19</v>
      </c>
      <c r="L35" t="str" cm="1">
        <f t="array" ref="L35">_xlfn.SWITCH(LEFT(K35, 7), "Yes, bu", "only own headphones", "Yes, ev", "any headphones", "No, I'm", "not interested", "No, I d", "dislikes headphones")</f>
        <v>not interested</v>
      </c>
      <c r="M35" t="s">
        <v>41</v>
      </c>
      <c r="N35" t="str" cm="1">
        <f t="array" ref="N35">_xlfn.SWITCH(LEFT(M35, 6), "Yes, b", "only own headphones", "Yes, e", "any headphones", "no")</f>
        <v>any headphones</v>
      </c>
      <c r="O35" t="s">
        <v>23</v>
      </c>
      <c r="P35" t="s">
        <v>33</v>
      </c>
      <c r="Q35" t="s">
        <v>63</v>
      </c>
    </row>
    <row r="36" spans="1:17" x14ac:dyDescent="0.2">
      <c r="A36" s="16">
        <v>45681.375439791664</v>
      </c>
      <c r="B36" s="18">
        <v>45681.375439791664</v>
      </c>
      <c r="C36" t="s">
        <v>40</v>
      </c>
      <c r="D36" s="15">
        <f t="shared" si="0"/>
        <v>0</v>
      </c>
      <c r="E36" t="s">
        <v>21</v>
      </c>
      <c r="F36" t="str" cm="1">
        <f t="array" ref="F36">_xlfn.SWITCH(E36, "Nature", "nature", "City", "city", "Indoors", "indoors", "other")</f>
        <v>city</v>
      </c>
      <c r="G36" t="s">
        <v>22</v>
      </c>
      <c r="H36" t="str" cm="1">
        <f t="array" ref="H36">_xlfn.SWITCH(RIGHT(G36, 4), "ion)", "paid", "free", "free", "no")</f>
        <v>free</v>
      </c>
      <c r="I36" t="s">
        <v>13</v>
      </c>
      <c r="J36" t="str" cm="1">
        <f t="array" ref="J36">_xlfn.SWITCH(RIGHT(I36, 2), "ys", "always", "ng", "exercise", "ds", "sleep", "no")</f>
        <v>no</v>
      </c>
      <c r="K36" t="s">
        <v>38</v>
      </c>
      <c r="L36" t="str" cm="1">
        <f t="array" ref="L36">_xlfn.SWITCH(LEFT(K36, 7), "Yes, bu", "only own headphones", "Yes, ev", "any headphones", "No, I'm", "not interested", "No, I d", "dislikes headphones")</f>
        <v>only own headphones</v>
      </c>
      <c r="M36" t="s">
        <v>38</v>
      </c>
      <c r="N36" t="str" cm="1">
        <f t="array" ref="N36">_xlfn.SWITCH(LEFT(M36, 6), "Yes, b", "only own headphones", "Yes, e", "any headphones", "no")</f>
        <v>only own headphones</v>
      </c>
      <c r="O36" t="s">
        <v>15</v>
      </c>
      <c r="P36" t="s">
        <v>64</v>
      </c>
    </row>
    <row r="37" spans="1:17" x14ac:dyDescent="0.2">
      <c r="A37" s="16">
        <v>45681.725939340278</v>
      </c>
      <c r="B37" s="18">
        <v>45681.725939340278</v>
      </c>
      <c r="C37" t="s">
        <v>10</v>
      </c>
      <c r="D37" s="15" t="str">
        <f t="shared" si="0"/>
        <v>3</v>
      </c>
      <c r="E37" t="s">
        <v>11</v>
      </c>
      <c r="F37" t="str" cm="1">
        <f t="array" ref="F37">_xlfn.SWITCH(E37, "Nature", "nature", "City", "city", "Indoors", "indoors", "other")</f>
        <v>nature</v>
      </c>
      <c r="G37" t="s">
        <v>12</v>
      </c>
      <c r="H37" t="str" cm="1">
        <f t="array" ref="H37">_xlfn.SWITCH(RIGHT(G37, 4), "ion)", "paid", "free", "free", "no")</f>
        <v>paid</v>
      </c>
      <c r="I37" t="s">
        <v>13</v>
      </c>
      <c r="J37" t="str" cm="1">
        <f t="array" ref="J37">_xlfn.SWITCH(RIGHT(I37, 2), "ys", "always", "ng", "exercise", "ds", "sleep", "no")</f>
        <v>no</v>
      </c>
      <c r="K37" t="s">
        <v>19</v>
      </c>
      <c r="L37" t="str" cm="1">
        <f t="array" ref="L37">_xlfn.SWITCH(LEFT(K37, 7), "Yes, bu", "only own headphones", "Yes, ev", "any headphones", "No, I'm", "not interested", "No, I d", "dislikes headphones")</f>
        <v>not interested</v>
      </c>
      <c r="M37" t="s">
        <v>41</v>
      </c>
      <c r="N37" t="str" cm="1">
        <f t="array" ref="N37">_xlfn.SWITCH(LEFT(M37, 6), "Yes, b", "only own headphones", "Yes, e", "any headphones", "no")</f>
        <v>any headphones</v>
      </c>
      <c r="O37" t="s">
        <v>15</v>
      </c>
      <c r="P37" t="s">
        <v>65</v>
      </c>
    </row>
    <row r="38" spans="1:17" x14ac:dyDescent="0.2">
      <c r="A38" s="16">
        <v>45681.922197743057</v>
      </c>
      <c r="B38" s="18">
        <v>45681.922197743057</v>
      </c>
      <c r="C38" t="s">
        <v>10</v>
      </c>
      <c r="D38" s="15" t="str">
        <f t="shared" si="0"/>
        <v>3</v>
      </c>
      <c r="E38" t="s">
        <v>11</v>
      </c>
      <c r="F38" t="str" cm="1">
        <f t="array" ref="F38">_xlfn.SWITCH(E38, "Nature", "nature", "City", "city", "Indoors", "indoors", "other")</f>
        <v>nature</v>
      </c>
      <c r="G38" t="s">
        <v>12</v>
      </c>
      <c r="H38" t="str" cm="1">
        <f t="array" ref="H38">_xlfn.SWITCH(RIGHT(G38, 4), "ion)", "paid", "free", "free", "no")</f>
        <v>paid</v>
      </c>
      <c r="I38" t="s">
        <v>31</v>
      </c>
      <c r="J38" t="str" cm="1">
        <f t="array" ref="J38">_xlfn.SWITCH(RIGHT(I38, 2), "ys", "always", "ng", "exercise", "ds", "sleep", "no")</f>
        <v>exercise</v>
      </c>
      <c r="K38" t="s">
        <v>49</v>
      </c>
      <c r="L38" t="str" cm="1">
        <f t="array" ref="L38">_xlfn.SWITCH(LEFT(K38, 7), "Yes, bu", "only own headphones", "Yes, ev", "any headphones", "No, I'm", "not interested", "No, I d", "dislikes headphones")</f>
        <v>dislikes headphones</v>
      </c>
      <c r="M38" t="s">
        <v>13</v>
      </c>
      <c r="N38" t="str" cm="1">
        <f t="array" ref="N38">_xlfn.SWITCH(LEFT(M38, 6), "Yes, b", "only own headphones", "Yes, e", "any headphones", "no")</f>
        <v>no</v>
      </c>
    </row>
    <row r="39" spans="1:17" x14ac:dyDescent="0.2">
      <c r="A39" s="16">
        <v>45682.499760752311</v>
      </c>
      <c r="B39" s="18">
        <v>45682.499760752311</v>
      </c>
      <c r="C39" t="s">
        <v>40</v>
      </c>
      <c r="D39" s="15">
        <f t="shared" si="0"/>
        <v>0</v>
      </c>
      <c r="E39" t="s">
        <v>11</v>
      </c>
      <c r="F39" t="str" cm="1">
        <f t="array" ref="F39">_xlfn.SWITCH(E39, "Nature", "nature", "City", "city", "Indoors", "indoors", "other")</f>
        <v>nature</v>
      </c>
      <c r="G39" t="s">
        <v>13</v>
      </c>
      <c r="H39" t="str" cm="1">
        <f t="array" ref="H39">_xlfn.SWITCH(RIGHT(G39, 4), "ion)", "paid", "free", "free", "no")</f>
        <v>no</v>
      </c>
      <c r="I39" t="s">
        <v>13</v>
      </c>
      <c r="J39" t="str" cm="1">
        <f t="array" ref="J39">_xlfn.SWITCH(RIGHT(I39, 2), "ys", "always", "ng", "exercise", "ds", "sleep", "no")</f>
        <v>no</v>
      </c>
      <c r="K39" t="s">
        <v>19</v>
      </c>
      <c r="L39" t="str" cm="1">
        <f t="array" ref="L39">_xlfn.SWITCH(LEFT(K39, 7), "Yes, bu", "only own headphones", "Yes, ev", "any headphones", "No, I'm", "not interested", "No, I d", "dislikes headphones")</f>
        <v>not interested</v>
      </c>
      <c r="M39" t="s">
        <v>13</v>
      </c>
      <c r="N39" t="str" cm="1">
        <f t="array" ref="N39">_xlfn.SWITCH(LEFT(M39, 6), "Yes, b", "only own headphones", "Yes, e", "any headphones", "no")</f>
        <v>no</v>
      </c>
      <c r="P39" t="s">
        <v>33</v>
      </c>
    </row>
    <row r="40" spans="1:17" x14ac:dyDescent="0.2">
      <c r="A40" s="16">
        <v>45683.328517453701</v>
      </c>
      <c r="B40" s="18">
        <v>45683.328517453701</v>
      </c>
      <c r="C40" t="s">
        <v>40</v>
      </c>
      <c r="D40" s="15">
        <f t="shared" si="0"/>
        <v>0</v>
      </c>
      <c r="E40" t="s">
        <v>11</v>
      </c>
      <c r="F40" t="str" cm="1">
        <f t="array" ref="F40">_xlfn.SWITCH(E40, "Nature", "nature", "City", "city", "Indoors", "indoors", "other")</f>
        <v>nature</v>
      </c>
      <c r="G40" t="s">
        <v>12</v>
      </c>
      <c r="H40" t="str" cm="1">
        <f t="array" ref="H40">_xlfn.SWITCH(RIGHT(G40, 4), "ion)", "paid", "free", "free", "no")</f>
        <v>paid</v>
      </c>
      <c r="I40" t="s">
        <v>13</v>
      </c>
      <c r="J40" t="str" cm="1">
        <f t="array" ref="J40">_xlfn.SWITCH(RIGHT(I40, 2), "ys", "always", "ng", "exercise", "ds", "sleep", "no")</f>
        <v>no</v>
      </c>
      <c r="K40" t="s">
        <v>38</v>
      </c>
      <c r="L40" t="str" cm="1">
        <f t="array" ref="L40">_xlfn.SWITCH(LEFT(K40, 7), "Yes, bu", "only own headphones", "Yes, ev", "any headphones", "No, I'm", "not interested", "No, I d", "dislikes headphones")</f>
        <v>only own headphones</v>
      </c>
      <c r="M40" t="s">
        <v>13</v>
      </c>
      <c r="N40" t="str" cm="1">
        <f t="array" ref="N40">_xlfn.SWITCH(LEFT(M40, 6), "Yes, b", "only own headphones", "Yes, e", "any headphones", "no")</f>
        <v>no</v>
      </c>
      <c r="P40" t="s">
        <v>66</v>
      </c>
    </row>
    <row r="41" spans="1:17" x14ac:dyDescent="0.2">
      <c r="A41" s="16">
        <v>45684.567461863422</v>
      </c>
      <c r="B41" s="18">
        <v>45684.567461863422</v>
      </c>
      <c r="C41" t="s">
        <v>40</v>
      </c>
      <c r="D41" s="15">
        <f t="shared" si="0"/>
        <v>0</v>
      </c>
      <c r="E41" t="s">
        <v>11</v>
      </c>
      <c r="F41" t="str" cm="1">
        <f t="array" ref="F41">_xlfn.SWITCH(E41, "Nature", "nature", "City", "city", "Indoors", "indoors", "other")</f>
        <v>nature</v>
      </c>
      <c r="G41" t="s">
        <v>22</v>
      </c>
      <c r="H41" t="str" cm="1">
        <f t="array" ref="H41">_xlfn.SWITCH(RIGHT(G41, 4), "ion)", "paid", "free", "free", "no")</f>
        <v>free</v>
      </c>
      <c r="I41" t="s">
        <v>13</v>
      </c>
      <c r="J41" t="str" cm="1">
        <f t="array" ref="J41">_xlfn.SWITCH(RIGHT(I41, 2), "ys", "always", "ng", "exercise", "ds", "sleep", "no")</f>
        <v>no</v>
      </c>
      <c r="K41" t="s">
        <v>38</v>
      </c>
      <c r="L41" t="str" cm="1">
        <f t="array" ref="L41">_xlfn.SWITCH(LEFT(K41, 7), "Yes, bu", "only own headphones", "Yes, ev", "any headphones", "No, I'm", "not interested", "No, I d", "dislikes headphones")</f>
        <v>only own headphones</v>
      </c>
      <c r="M41" t="s">
        <v>38</v>
      </c>
      <c r="N41" t="str" cm="1">
        <f t="array" ref="N41">_xlfn.SWITCH(LEFT(M41, 6), "Yes, b", "only own headphones", "Yes, e", "any headphones", "no")</f>
        <v>only own headphones</v>
      </c>
      <c r="O41" t="s">
        <v>15</v>
      </c>
      <c r="P41" t="s">
        <v>67</v>
      </c>
    </row>
    <row r="42" spans="1:17" x14ac:dyDescent="0.2">
      <c r="A42" s="16">
        <v>45686.663391539347</v>
      </c>
      <c r="B42" s="18">
        <v>45686.663391539347</v>
      </c>
      <c r="C42" t="s">
        <v>40</v>
      </c>
      <c r="D42" s="15">
        <f t="shared" si="0"/>
        <v>0</v>
      </c>
      <c r="E42" t="s">
        <v>11</v>
      </c>
      <c r="F42" t="str" cm="1">
        <f t="array" ref="F42">_xlfn.SWITCH(E42, "Nature", "nature", "City", "city", "Indoors", "indoors", "other")</f>
        <v>nature</v>
      </c>
      <c r="G42" t="s">
        <v>13</v>
      </c>
      <c r="H42" t="str" cm="1">
        <f t="array" ref="H42">_xlfn.SWITCH(RIGHT(G42, 4), "ion)", "paid", "free", "free", "no")</f>
        <v>no</v>
      </c>
      <c r="I42" t="s">
        <v>13</v>
      </c>
      <c r="J42" t="str" cm="1">
        <f t="array" ref="J42">_xlfn.SWITCH(RIGHT(I42, 2), "ys", "always", "ng", "exercise", "ds", "sleep", "no")</f>
        <v>no</v>
      </c>
      <c r="K42" t="s">
        <v>38</v>
      </c>
      <c r="L42" t="str" cm="1">
        <f t="array" ref="L42">_xlfn.SWITCH(LEFT(K42, 7), "Yes, bu", "only own headphones", "Yes, ev", "any headphones", "No, I'm", "not interested", "No, I d", "dislikes headphones")</f>
        <v>only own headphones</v>
      </c>
      <c r="M42" t="s">
        <v>38</v>
      </c>
      <c r="N42" t="str" cm="1">
        <f t="array" ref="N42">_xlfn.SWITCH(LEFT(M42, 6), "Yes, b", "only own headphones", "Yes, e", "any headphones", "no")</f>
        <v>only own headphones</v>
      </c>
      <c r="O42" t="s">
        <v>15</v>
      </c>
      <c r="P42" t="s">
        <v>68</v>
      </c>
    </row>
    <row r="43" spans="1:17" x14ac:dyDescent="0.2">
      <c r="A43" s="16">
        <v>45686.677430983793</v>
      </c>
      <c r="B43" s="18">
        <v>45686.677430983793</v>
      </c>
      <c r="C43" t="s">
        <v>17</v>
      </c>
      <c r="D43" s="15" t="str">
        <f t="shared" si="0"/>
        <v>1</v>
      </c>
      <c r="E43" t="s">
        <v>11</v>
      </c>
      <c r="F43" t="str" cm="1">
        <f t="array" ref="F43">_xlfn.SWITCH(E43, "Nature", "nature", "City", "city", "Indoors", "indoors", "other")</f>
        <v>nature</v>
      </c>
      <c r="G43" t="s">
        <v>22</v>
      </c>
      <c r="H43" t="str" cm="1">
        <f t="array" ref="H43">_xlfn.SWITCH(RIGHT(G43, 4), "ion)", "paid", "free", "free", "no")</f>
        <v>free</v>
      </c>
      <c r="I43" t="s">
        <v>13</v>
      </c>
      <c r="J43" t="str" cm="1">
        <f t="array" ref="J43">_xlfn.SWITCH(RIGHT(I43, 2), "ys", "always", "ng", "exercise", "ds", "sleep", "no")</f>
        <v>no</v>
      </c>
      <c r="K43" t="s">
        <v>19</v>
      </c>
      <c r="L43" t="str" cm="1">
        <f t="array" ref="L43">_xlfn.SWITCH(LEFT(K43, 7), "Yes, bu", "only own headphones", "Yes, ev", "any headphones", "No, I'm", "not interested", "No, I d", "dislikes headphones")</f>
        <v>not interested</v>
      </c>
      <c r="M43" t="s">
        <v>13</v>
      </c>
      <c r="N43" t="str" cm="1">
        <f t="array" ref="N43">_xlfn.SWITCH(LEFT(M43, 6), "Yes, b", "only own headphones", "Yes, e", "any headphones", "no")</f>
        <v>no</v>
      </c>
      <c r="P43" t="s">
        <v>27</v>
      </c>
    </row>
    <row r="44" spans="1:17" x14ac:dyDescent="0.2">
      <c r="A44" s="16">
        <v>45686.707806087958</v>
      </c>
      <c r="B44" s="18">
        <v>45686.707806087958</v>
      </c>
      <c r="C44" t="s">
        <v>40</v>
      </c>
      <c r="D44" s="15">
        <f t="shared" si="0"/>
        <v>0</v>
      </c>
      <c r="E44" t="s">
        <v>11</v>
      </c>
      <c r="F44" t="str" cm="1">
        <f t="array" ref="F44">_xlfn.SWITCH(E44, "Nature", "nature", "City", "city", "Indoors", "indoors", "other")</f>
        <v>nature</v>
      </c>
      <c r="G44" t="s">
        <v>12</v>
      </c>
      <c r="H44" t="str" cm="1">
        <f t="array" ref="H44">_xlfn.SWITCH(RIGHT(G44, 4), "ion)", "paid", "free", "free", "no")</f>
        <v>paid</v>
      </c>
      <c r="I44" t="s">
        <v>13</v>
      </c>
      <c r="J44" t="str" cm="1">
        <f t="array" ref="J44">_xlfn.SWITCH(RIGHT(I44, 2), "ys", "always", "ng", "exercise", "ds", "sleep", "no")</f>
        <v>no</v>
      </c>
      <c r="K44" t="s">
        <v>19</v>
      </c>
      <c r="L44" t="str" cm="1">
        <f t="array" ref="L44">_xlfn.SWITCH(LEFT(K44, 7), "Yes, bu", "only own headphones", "Yes, ev", "any headphones", "No, I'm", "not interested", "No, I d", "dislikes headphones")</f>
        <v>not interested</v>
      </c>
      <c r="M44" t="s">
        <v>13</v>
      </c>
      <c r="N44" t="str" cm="1">
        <f t="array" ref="N44">_xlfn.SWITCH(LEFT(M44, 6), "Yes, b", "only own headphones", "Yes, e", "any headphones", "no")</f>
        <v>no</v>
      </c>
      <c r="P44" t="s">
        <v>66</v>
      </c>
    </row>
    <row r="45" spans="1:17" x14ac:dyDescent="0.2">
      <c r="A45" s="16">
        <v>45687.43021337963</v>
      </c>
      <c r="B45" s="18">
        <v>45687.43021337963</v>
      </c>
      <c r="C45" t="s">
        <v>10</v>
      </c>
      <c r="D45" s="15" t="str">
        <f t="shared" si="0"/>
        <v>3</v>
      </c>
      <c r="E45" t="s">
        <v>21</v>
      </c>
      <c r="F45" t="str" cm="1">
        <f t="array" ref="F45">_xlfn.SWITCH(E45, "Nature", "nature", "City", "city", "Indoors", "indoors", "other")</f>
        <v>city</v>
      </c>
      <c r="G45" t="s">
        <v>12</v>
      </c>
      <c r="H45" t="str" cm="1">
        <f t="array" ref="H45">_xlfn.SWITCH(RIGHT(G45, 4), "ion)", "paid", "free", "free", "no")</f>
        <v>paid</v>
      </c>
      <c r="I45" t="s">
        <v>13</v>
      </c>
      <c r="J45" t="str" cm="1">
        <f t="array" ref="J45">_xlfn.SWITCH(RIGHT(I45, 2), "ys", "always", "ng", "exercise", "ds", "sleep", "no")</f>
        <v>no</v>
      </c>
      <c r="K45" t="s">
        <v>19</v>
      </c>
      <c r="L45" t="str" cm="1">
        <f t="array" ref="L45">_xlfn.SWITCH(LEFT(K45, 7), "Yes, bu", "only own headphones", "Yes, ev", "any headphones", "No, I'm", "not interested", "No, I d", "dislikes headphones")</f>
        <v>not interested</v>
      </c>
      <c r="M45" t="s">
        <v>38</v>
      </c>
      <c r="N45" t="str" cm="1">
        <f t="array" ref="N45">_xlfn.SWITCH(LEFT(M45, 6), "Yes, b", "only own headphones", "Yes, e", "any headphones", "no")</f>
        <v>only own headphones</v>
      </c>
      <c r="O45" t="s">
        <v>15</v>
      </c>
    </row>
    <row r="46" spans="1:17" x14ac:dyDescent="0.2">
      <c r="A46" s="16">
        <v>45692.384191446763</v>
      </c>
      <c r="B46" s="18">
        <v>45692.384191446763</v>
      </c>
      <c r="C46" t="s">
        <v>40</v>
      </c>
      <c r="D46" s="15">
        <f t="shared" si="0"/>
        <v>0</v>
      </c>
      <c r="E46" t="s">
        <v>21</v>
      </c>
      <c r="F46" t="str" cm="1">
        <f t="array" ref="F46">_xlfn.SWITCH(E46, "Nature", "nature", "City", "city", "Indoors", "indoors", "other")</f>
        <v>city</v>
      </c>
      <c r="G46" t="s">
        <v>12</v>
      </c>
      <c r="H46" t="str" cm="1">
        <f t="array" ref="H46">_xlfn.SWITCH(RIGHT(G46, 4), "ion)", "paid", "free", "free", "no")</f>
        <v>paid</v>
      </c>
      <c r="I46" t="s">
        <v>13</v>
      </c>
      <c r="J46" t="str" cm="1">
        <f t="array" ref="J46">_xlfn.SWITCH(RIGHT(I46, 2), "ys", "always", "ng", "exercise", "ds", "sleep", "no")</f>
        <v>no</v>
      </c>
      <c r="K46" t="s">
        <v>19</v>
      </c>
      <c r="L46" t="str" cm="1">
        <f t="array" ref="L46">_xlfn.SWITCH(LEFT(K46, 7), "Yes, bu", "only own headphones", "Yes, ev", "any headphones", "No, I'm", "not interested", "No, I d", "dislikes headphones")</f>
        <v>not interested</v>
      </c>
      <c r="M46" t="s">
        <v>38</v>
      </c>
      <c r="N46" t="str" cm="1">
        <f t="array" ref="N46">_xlfn.SWITCH(LEFT(M46, 6), "Yes, b", "only own headphones", "Yes, e", "any headphones", "no")</f>
        <v>only own headphones</v>
      </c>
      <c r="O46" t="s">
        <v>15</v>
      </c>
      <c r="P46" t="s">
        <v>24</v>
      </c>
    </row>
    <row r="47" spans="1:17" x14ac:dyDescent="0.2">
      <c r="A47" s="16">
        <v>45695.495939976856</v>
      </c>
      <c r="B47" s="18">
        <v>45695.495939976856</v>
      </c>
      <c r="C47" t="s">
        <v>10</v>
      </c>
      <c r="D47" s="15" t="str">
        <f t="shared" si="0"/>
        <v>3</v>
      </c>
      <c r="E47" t="s">
        <v>11</v>
      </c>
      <c r="F47" t="str" cm="1">
        <f t="array" ref="F47">_xlfn.SWITCH(E47, "Nature", "nature", "City", "city", "Indoors", "indoors", "other")</f>
        <v>nature</v>
      </c>
      <c r="G47" t="s">
        <v>12</v>
      </c>
      <c r="H47" t="str" cm="1">
        <f t="array" ref="H47">_xlfn.SWITCH(RIGHT(G47, 4), "ion)", "paid", "free", "free", "no")</f>
        <v>paid</v>
      </c>
      <c r="I47" t="s">
        <v>13</v>
      </c>
      <c r="J47" t="str" cm="1">
        <f t="array" ref="J47">_xlfn.SWITCH(RIGHT(I47, 2), "ys", "always", "ng", "exercise", "ds", "sleep", "no")</f>
        <v>no</v>
      </c>
      <c r="K47" t="s">
        <v>38</v>
      </c>
      <c r="L47" t="str" cm="1">
        <f t="array" ref="L47">_xlfn.SWITCH(LEFT(K47, 7), "Yes, bu", "only own headphones", "Yes, ev", "any headphones", "No, I'm", "not interested", "No, I d", "dislikes headphones")</f>
        <v>only own headphones</v>
      </c>
      <c r="M47" t="s">
        <v>38</v>
      </c>
      <c r="N47" t="str" cm="1">
        <f t="array" ref="N47">_xlfn.SWITCH(LEFT(M47, 6), "Yes, b", "only own headphones", "Yes, e", "any headphones", "no")</f>
        <v>only own headphones</v>
      </c>
      <c r="O47" t="s">
        <v>23</v>
      </c>
      <c r="P47" t="s">
        <v>29</v>
      </c>
    </row>
    <row r="48" spans="1:17" x14ac:dyDescent="0.2">
      <c r="A48" s="16">
        <v>45699.86394210648</v>
      </c>
      <c r="B48" s="18">
        <v>45699.86394210648</v>
      </c>
      <c r="C48" t="s">
        <v>40</v>
      </c>
      <c r="D48" s="15">
        <f t="shared" si="0"/>
        <v>0</v>
      </c>
      <c r="E48" t="s">
        <v>11</v>
      </c>
      <c r="F48" t="str" cm="1">
        <f t="array" ref="F48">_xlfn.SWITCH(E48, "Nature", "nature", "City", "city", "Indoors", "indoors", "other")</f>
        <v>nature</v>
      </c>
      <c r="G48" t="s">
        <v>12</v>
      </c>
      <c r="H48" t="str" cm="1">
        <f t="array" ref="H48">_xlfn.SWITCH(RIGHT(G48, 4), "ion)", "paid", "free", "free", "no")</f>
        <v>paid</v>
      </c>
      <c r="I48" t="s">
        <v>13</v>
      </c>
      <c r="J48" t="str" cm="1">
        <f t="array" ref="J48">_xlfn.SWITCH(RIGHT(I48, 2), "ys", "always", "ng", "exercise", "ds", "sleep", "no")</f>
        <v>no</v>
      </c>
      <c r="K48" t="s">
        <v>38</v>
      </c>
      <c r="L48" t="str" cm="1">
        <f t="array" ref="L48">_xlfn.SWITCH(LEFT(K48, 7), "Yes, bu", "only own headphones", "Yes, ev", "any headphones", "No, I'm", "not interested", "No, I d", "dislikes headphones")</f>
        <v>only own headphones</v>
      </c>
      <c r="M48" t="s">
        <v>38</v>
      </c>
      <c r="N48" t="str" cm="1">
        <f t="array" ref="N48">_xlfn.SWITCH(LEFT(M48, 6), "Yes, b", "only own headphones", "Yes, e", "any headphones", "no")</f>
        <v>only own headphones</v>
      </c>
      <c r="O48" t="s">
        <v>15</v>
      </c>
      <c r="P48" t="s">
        <v>69</v>
      </c>
    </row>
    <row r="49" spans="1:16" x14ac:dyDescent="0.2">
      <c r="A49" s="16">
        <v>45738.551559270833</v>
      </c>
      <c r="B49" s="18">
        <v>45738.551559270833</v>
      </c>
      <c r="C49" t="s">
        <v>54</v>
      </c>
      <c r="D49" s="15" t="str">
        <f t="shared" si="0"/>
        <v>6</v>
      </c>
      <c r="E49" t="s">
        <v>11</v>
      </c>
      <c r="F49" t="str" cm="1">
        <f t="array" ref="F49">_xlfn.SWITCH(E49, "Nature", "nature", "City", "city", "Indoors", "indoors", "other")</f>
        <v>nature</v>
      </c>
      <c r="G49" t="s">
        <v>22</v>
      </c>
      <c r="H49" t="str" cm="1">
        <f t="array" ref="H49">_xlfn.SWITCH(RIGHT(G49, 4), "ion)", "paid", "free", "free", "no")</f>
        <v>free</v>
      </c>
      <c r="I49" t="s">
        <v>13</v>
      </c>
      <c r="J49" t="str" cm="1">
        <f t="array" ref="J49">_xlfn.SWITCH(RIGHT(I49, 2), "ys", "always", "ng", "exercise", "ds", "sleep", "no")</f>
        <v>no</v>
      </c>
      <c r="K49" t="s">
        <v>19</v>
      </c>
      <c r="L49" t="str" cm="1">
        <f t="array" ref="L49">_xlfn.SWITCH(LEFT(K49, 7), "Yes, bu", "only own headphones", "Yes, ev", "any headphones", "No, I'm", "not interested", "No, I d", "dislikes headphones")</f>
        <v>not interested</v>
      </c>
      <c r="M49" t="s">
        <v>38</v>
      </c>
      <c r="N49" t="str" cm="1">
        <f t="array" ref="N49">_xlfn.SWITCH(LEFT(M49, 6), "Yes, b", "only own headphones", "Yes, e", "any headphones", "no")</f>
        <v>only own headphones</v>
      </c>
      <c r="O49" t="s">
        <v>15</v>
      </c>
      <c r="P49" t="s">
        <v>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36C0-0E1A-4EC1-BBDC-661848FFC929}">
  <dimension ref="A1:I49"/>
  <sheetViews>
    <sheetView tabSelected="1" workbookViewId="0">
      <selection activeCell="H14" sqref="H14"/>
    </sheetView>
  </sheetViews>
  <sheetFormatPr defaultRowHeight="12.75" x14ac:dyDescent="0.2"/>
  <cols>
    <col min="1" max="1" width="12" bestFit="1" customWidth="1"/>
    <col min="2" max="2" width="7.5703125" style="19" bestFit="1" customWidth="1"/>
    <col min="3" max="3" width="10.42578125" bestFit="1" customWidth="1"/>
    <col min="4" max="4" width="7.5703125" bestFit="1" customWidth="1"/>
    <col min="5" max="5" width="18" bestFit="1" customWidth="1"/>
    <col min="6" max="7" width="19.140625" bestFit="1" customWidth="1"/>
    <col min="8" max="8" width="16.42578125" bestFit="1" customWidth="1"/>
    <col min="9" max="9" width="20.42578125" bestFit="1" customWidth="1"/>
  </cols>
  <sheetData>
    <row r="1" spans="1:9" x14ac:dyDescent="0.2">
      <c r="A1" t="s">
        <v>81</v>
      </c>
      <c r="B1" s="19" t="s">
        <v>71</v>
      </c>
      <c r="C1" t="s">
        <v>94</v>
      </c>
      <c r="D1" t="s">
        <v>73</v>
      </c>
      <c r="E1" t="s">
        <v>74</v>
      </c>
      <c r="F1" t="s">
        <v>75</v>
      </c>
      <c r="G1" t="s">
        <v>76</v>
      </c>
      <c r="H1" t="s">
        <v>77</v>
      </c>
      <c r="I1" t="s">
        <v>78</v>
      </c>
    </row>
    <row r="2" spans="1:9" x14ac:dyDescent="0.2">
      <c r="A2">
        <v>45678.744763518524</v>
      </c>
      <c r="B2" s="19" t="s">
        <v>95</v>
      </c>
      <c r="C2" t="s">
        <v>88</v>
      </c>
      <c r="D2" t="s">
        <v>96</v>
      </c>
      <c r="E2" t="s">
        <v>97</v>
      </c>
      <c r="F2" t="s">
        <v>98</v>
      </c>
      <c r="G2" t="s">
        <v>98</v>
      </c>
      <c r="H2" t="s">
        <v>15</v>
      </c>
      <c r="I2" t="s">
        <v>16</v>
      </c>
    </row>
    <row r="3" spans="1:9" x14ac:dyDescent="0.2">
      <c r="A3">
        <v>45678.757681898147</v>
      </c>
      <c r="B3" s="19" t="s">
        <v>99</v>
      </c>
      <c r="C3" t="s">
        <v>88</v>
      </c>
      <c r="D3" t="s">
        <v>96</v>
      </c>
      <c r="E3" t="s">
        <v>100</v>
      </c>
      <c r="F3" t="s">
        <v>101</v>
      </c>
      <c r="G3" t="s">
        <v>98</v>
      </c>
      <c r="H3" t="s">
        <v>15</v>
      </c>
      <c r="I3" t="s">
        <v>20</v>
      </c>
    </row>
    <row r="4" spans="1:9" x14ac:dyDescent="0.2">
      <c r="A4">
        <v>45678.786606493057</v>
      </c>
      <c r="B4" s="19" t="s">
        <v>99</v>
      </c>
      <c r="C4" t="s">
        <v>87</v>
      </c>
      <c r="D4" t="s">
        <v>102</v>
      </c>
      <c r="E4" t="s">
        <v>97</v>
      </c>
      <c r="F4" t="s">
        <v>98</v>
      </c>
      <c r="G4" t="s">
        <v>98</v>
      </c>
      <c r="H4" t="s">
        <v>23</v>
      </c>
      <c r="I4" t="s">
        <v>24</v>
      </c>
    </row>
    <row r="5" spans="1:9" x14ac:dyDescent="0.2">
      <c r="A5">
        <v>45678.801338495367</v>
      </c>
      <c r="B5" s="19" t="s">
        <v>95</v>
      </c>
      <c r="C5" t="s">
        <v>88</v>
      </c>
      <c r="D5" t="s">
        <v>102</v>
      </c>
      <c r="E5" t="s">
        <v>97</v>
      </c>
      <c r="F5" t="s">
        <v>98</v>
      </c>
      <c r="G5" t="s">
        <v>98</v>
      </c>
      <c r="H5" t="s">
        <v>15</v>
      </c>
      <c r="I5" t="s">
        <v>25</v>
      </c>
    </row>
    <row r="6" spans="1:9" x14ac:dyDescent="0.2">
      <c r="A6">
        <v>45678.890740416668</v>
      </c>
      <c r="B6" s="19" t="s">
        <v>99</v>
      </c>
      <c r="C6" t="s">
        <v>88</v>
      </c>
      <c r="D6" t="s">
        <v>102</v>
      </c>
      <c r="E6" t="s">
        <v>97</v>
      </c>
      <c r="F6" t="s">
        <v>101</v>
      </c>
      <c r="G6" t="s">
        <v>103</v>
      </c>
      <c r="H6" t="s">
        <v>23</v>
      </c>
      <c r="I6" t="s">
        <v>27</v>
      </c>
    </row>
    <row r="7" spans="1:9" x14ac:dyDescent="0.2">
      <c r="A7">
        <v>45678.913685497682</v>
      </c>
      <c r="B7" s="19" t="s">
        <v>99</v>
      </c>
      <c r="C7" t="s">
        <v>88</v>
      </c>
      <c r="D7" t="s">
        <v>96</v>
      </c>
      <c r="E7" t="s">
        <v>97</v>
      </c>
      <c r="F7" t="s">
        <v>98</v>
      </c>
      <c r="G7" t="s">
        <v>103</v>
      </c>
      <c r="H7" t="s">
        <v>15</v>
      </c>
      <c r="I7" t="s">
        <v>29</v>
      </c>
    </row>
    <row r="8" spans="1:9" x14ac:dyDescent="0.2">
      <c r="A8">
        <v>45679.445971782407</v>
      </c>
      <c r="B8" s="19" t="s">
        <v>95</v>
      </c>
      <c r="C8" t="s">
        <v>87</v>
      </c>
      <c r="D8" t="s">
        <v>96</v>
      </c>
      <c r="E8" t="s">
        <v>97</v>
      </c>
      <c r="F8" t="s">
        <v>104</v>
      </c>
      <c r="G8" t="s">
        <v>97</v>
      </c>
      <c r="H8" t="s">
        <v>15</v>
      </c>
    </row>
    <row r="9" spans="1:9" x14ac:dyDescent="0.2">
      <c r="A9">
        <v>45679.619907847227</v>
      </c>
      <c r="B9" s="19" t="s">
        <v>95</v>
      </c>
      <c r="C9" t="s">
        <v>88</v>
      </c>
      <c r="D9" t="s">
        <v>96</v>
      </c>
      <c r="E9" t="s">
        <v>105</v>
      </c>
      <c r="F9" t="s">
        <v>98</v>
      </c>
      <c r="G9" t="s">
        <v>103</v>
      </c>
      <c r="H9" t="s">
        <v>15</v>
      </c>
      <c r="I9" t="s">
        <v>29</v>
      </c>
    </row>
    <row r="10" spans="1:9" x14ac:dyDescent="0.2">
      <c r="A10">
        <v>45679.714285671296</v>
      </c>
      <c r="B10" s="19" t="s">
        <v>95</v>
      </c>
      <c r="C10" t="s">
        <v>106</v>
      </c>
      <c r="D10" t="s">
        <v>102</v>
      </c>
      <c r="E10" t="s">
        <v>97</v>
      </c>
      <c r="F10" t="s">
        <v>98</v>
      </c>
      <c r="G10" t="s">
        <v>97</v>
      </c>
      <c r="H10" t="s">
        <v>15</v>
      </c>
      <c r="I10" t="s">
        <v>33</v>
      </c>
    </row>
    <row r="11" spans="1:9" x14ac:dyDescent="0.2">
      <c r="A11">
        <v>45679.716964618055</v>
      </c>
      <c r="B11" s="19" t="s">
        <v>95</v>
      </c>
      <c r="C11" t="s">
        <v>88</v>
      </c>
      <c r="D11" t="s">
        <v>102</v>
      </c>
      <c r="E11" t="s">
        <v>107</v>
      </c>
      <c r="F11" t="s">
        <v>103</v>
      </c>
      <c r="G11" t="s">
        <v>97</v>
      </c>
      <c r="H11" t="s">
        <v>15</v>
      </c>
      <c r="I11" t="s">
        <v>35</v>
      </c>
    </row>
    <row r="12" spans="1:9" x14ac:dyDescent="0.2">
      <c r="A12">
        <v>45679.719247673609</v>
      </c>
      <c r="B12" s="19" t="s">
        <v>99</v>
      </c>
      <c r="C12" t="s">
        <v>88</v>
      </c>
      <c r="D12" t="s">
        <v>102</v>
      </c>
      <c r="E12" t="s">
        <v>97</v>
      </c>
      <c r="F12" t="s">
        <v>98</v>
      </c>
      <c r="G12" t="s">
        <v>98</v>
      </c>
      <c r="H12" t="s">
        <v>15</v>
      </c>
      <c r="I12" t="s">
        <v>36</v>
      </c>
    </row>
    <row r="13" spans="1:9" x14ac:dyDescent="0.2">
      <c r="A13">
        <v>45679.719647916667</v>
      </c>
      <c r="B13" s="19" t="s">
        <v>99</v>
      </c>
      <c r="C13" t="s">
        <v>88</v>
      </c>
      <c r="D13" t="s">
        <v>96</v>
      </c>
      <c r="E13" t="s">
        <v>105</v>
      </c>
      <c r="F13" t="s">
        <v>104</v>
      </c>
      <c r="G13" t="s">
        <v>98</v>
      </c>
      <c r="H13" t="s">
        <v>15</v>
      </c>
      <c r="I13" t="s">
        <v>33</v>
      </c>
    </row>
    <row r="14" spans="1:9" x14ac:dyDescent="0.2">
      <c r="A14">
        <v>45679.73025390046</v>
      </c>
      <c r="B14" s="19" t="s">
        <v>99</v>
      </c>
      <c r="C14" t="s">
        <v>88</v>
      </c>
      <c r="D14" t="s">
        <v>102</v>
      </c>
      <c r="E14" t="s">
        <v>97</v>
      </c>
      <c r="F14" t="s">
        <v>98</v>
      </c>
      <c r="G14" t="s">
        <v>98</v>
      </c>
      <c r="H14" t="s">
        <v>23</v>
      </c>
      <c r="I14" t="s">
        <v>39</v>
      </c>
    </row>
    <row r="15" spans="1:9" x14ac:dyDescent="0.2">
      <c r="A15">
        <v>45679.734568912041</v>
      </c>
      <c r="B15" s="19">
        <v>0</v>
      </c>
      <c r="C15" t="s">
        <v>88</v>
      </c>
      <c r="D15" t="s">
        <v>102</v>
      </c>
      <c r="E15" t="s">
        <v>97</v>
      </c>
      <c r="F15" t="s">
        <v>101</v>
      </c>
      <c r="G15" t="s">
        <v>103</v>
      </c>
      <c r="H15" t="s">
        <v>15</v>
      </c>
      <c r="I15" t="s">
        <v>33</v>
      </c>
    </row>
    <row r="16" spans="1:9" x14ac:dyDescent="0.2">
      <c r="A16">
        <v>45679.736209456023</v>
      </c>
      <c r="B16" s="19" t="s">
        <v>95</v>
      </c>
      <c r="C16" t="s">
        <v>88</v>
      </c>
      <c r="D16" t="s">
        <v>96</v>
      </c>
      <c r="E16" t="s">
        <v>107</v>
      </c>
      <c r="F16" t="s">
        <v>98</v>
      </c>
      <c r="G16" t="s">
        <v>98</v>
      </c>
      <c r="H16" t="s">
        <v>15</v>
      </c>
      <c r="I16" t="s">
        <v>42</v>
      </c>
    </row>
    <row r="17" spans="1:9" x14ac:dyDescent="0.2">
      <c r="A17">
        <v>45679.745117592596</v>
      </c>
      <c r="B17" s="19" t="s">
        <v>95</v>
      </c>
      <c r="C17" t="s">
        <v>88</v>
      </c>
      <c r="D17" t="s">
        <v>96</v>
      </c>
      <c r="E17" t="s">
        <v>97</v>
      </c>
      <c r="F17" t="s">
        <v>103</v>
      </c>
      <c r="G17" t="s">
        <v>103</v>
      </c>
      <c r="H17" t="s">
        <v>23</v>
      </c>
      <c r="I17" t="s">
        <v>43</v>
      </c>
    </row>
    <row r="18" spans="1:9" x14ac:dyDescent="0.2">
      <c r="A18">
        <v>45679.789959467591</v>
      </c>
      <c r="B18" s="19">
        <v>0</v>
      </c>
      <c r="C18" t="s">
        <v>88</v>
      </c>
      <c r="D18" t="s">
        <v>102</v>
      </c>
      <c r="E18" t="s">
        <v>97</v>
      </c>
      <c r="F18" t="s">
        <v>101</v>
      </c>
      <c r="G18" t="s">
        <v>97</v>
      </c>
      <c r="H18" t="s">
        <v>23</v>
      </c>
      <c r="I18" t="s">
        <v>33</v>
      </c>
    </row>
    <row r="19" spans="1:9" x14ac:dyDescent="0.2">
      <c r="A19">
        <v>45679.856360057871</v>
      </c>
      <c r="B19" s="19" t="s">
        <v>95</v>
      </c>
      <c r="C19" t="s">
        <v>89</v>
      </c>
      <c r="D19" t="s">
        <v>96</v>
      </c>
      <c r="E19" t="s">
        <v>97</v>
      </c>
      <c r="F19" t="s">
        <v>101</v>
      </c>
      <c r="G19" t="s">
        <v>97</v>
      </c>
    </row>
    <row r="20" spans="1:9" x14ac:dyDescent="0.2">
      <c r="A20">
        <v>45679.86601017361</v>
      </c>
      <c r="B20" s="19">
        <v>0</v>
      </c>
      <c r="C20" t="s">
        <v>106</v>
      </c>
      <c r="D20" t="s">
        <v>102</v>
      </c>
      <c r="E20" t="s">
        <v>97</v>
      </c>
      <c r="F20" t="s">
        <v>101</v>
      </c>
      <c r="G20" t="s">
        <v>97</v>
      </c>
      <c r="I20" t="s">
        <v>46</v>
      </c>
    </row>
    <row r="21" spans="1:9" x14ac:dyDescent="0.2">
      <c r="A21">
        <v>45679.880623263889</v>
      </c>
      <c r="B21" s="19" t="s">
        <v>99</v>
      </c>
      <c r="C21" t="s">
        <v>88</v>
      </c>
      <c r="D21" t="s">
        <v>96</v>
      </c>
      <c r="E21" t="s">
        <v>100</v>
      </c>
      <c r="F21" t="s">
        <v>98</v>
      </c>
      <c r="G21" t="s">
        <v>98</v>
      </c>
      <c r="H21" t="s">
        <v>15</v>
      </c>
      <c r="I21" t="s">
        <v>48</v>
      </c>
    </row>
    <row r="22" spans="1:9" x14ac:dyDescent="0.2">
      <c r="A22">
        <v>45679.892367361113</v>
      </c>
      <c r="B22" s="19" t="s">
        <v>99</v>
      </c>
      <c r="C22" t="s">
        <v>88</v>
      </c>
      <c r="D22" t="s">
        <v>102</v>
      </c>
      <c r="E22" t="s">
        <v>97</v>
      </c>
      <c r="F22" t="s">
        <v>101</v>
      </c>
      <c r="G22" t="s">
        <v>98</v>
      </c>
      <c r="H22" t="s">
        <v>23</v>
      </c>
      <c r="I22" t="s">
        <v>33</v>
      </c>
    </row>
    <row r="23" spans="1:9" x14ac:dyDescent="0.2">
      <c r="A23">
        <v>45679.976412569449</v>
      </c>
      <c r="B23" s="19" t="s">
        <v>99</v>
      </c>
      <c r="C23" t="s">
        <v>88</v>
      </c>
      <c r="D23" t="s">
        <v>102</v>
      </c>
      <c r="E23" t="s">
        <v>97</v>
      </c>
      <c r="F23" t="s">
        <v>104</v>
      </c>
      <c r="G23" t="s">
        <v>97</v>
      </c>
      <c r="I23" t="s">
        <v>50</v>
      </c>
    </row>
    <row r="24" spans="1:9" x14ac:dyDescent="0.2">
      <c r="A24">
        <v>45680.007864884261</v>
      </c>
      <c r="B24" s="19">
        <v>0</v>
      </c>
      <c r="C24" t="s">
        <v>88</v>
      </c>
      <c r="D24" t="s">
        <v>97</v>
      </c>
      <c r="E24" t="s">
        <v>97</v>
      </c>
      <c r="F24" t="s">
        <v>101</v>
      </c>
      <c r="G24" t="s">
        <v>97</v>
      </c>
      <c r="I24" t="s">
        <v>33</v>
      </c>
    </row>
    <row r="25" spans="1:9" x14ac:dyDescent="0.2">
      <c r="A25">
        <v>45680.320305914356</v>
      </c>
      <c r="B25" s="19" t="s">
        <v>99</v>
      </c>
      <c r="C25" t="s">
        <v>87</v>
      </c>
      <c r="D25" t="s">
        <v>102</v>
      </c>
      <c r="E25" t="s">
        <v>97</v>
      </c>
      <c r="F25" t="s">
        <v>104</v>
      </c>
      <c r="G25" t="s">
        <v>97</v>
      </c>
      <c r="I25" t="s">
        <v>16</v>
      </c>
    </row>
    <row r="26" spans="1:9" x14ac:dyDescent="0.2">
      <c r="A26">
        <v>45680.335879270831</v>
      </c>
      <c r="B26" s="19">
        <v>0</v>
      </c>
      <c r="C26" t="s">
        <v>88</v>
      </c>
      <c r="D26" t="s">
        <v>102</v>
      </c>
      <c r="E26" t="s">
        <v>100</v>
      </c>
      <c r="F26" t="s">
        <v>103</v>
      </c>
      <c r="G26" t="s">
        <v>103</v>
      </c>
      <c r="H26" t="s">
        <v>15</v>
      </c>
      <c r="I26" t="s">
        <v>51</v>
      </c>
    </row>
    <row r="27" spans="1:9" x14ac:dyDescent="0.2">
      <c r="A27">
        <v>45680.356543807866</v>
      </c>
      <c r="B27" s="19">
        <v>0</v>
      </c>
      <c r="C27" t="s">
        <v>88</v>
      </c>
      <c r="D27" t="s">
        <v>96</v>
      </c>
      <c r="E27" t="s">
        <v>97</v>
      </c>
      <c r="F27" t="s">
        <v>98</v>
      </c>
      <c r="G27" t="s">
        <v>98</v>
      </c>
      <c r="H27" t="s">
        <v>23</v>
      </c>
      <c r="I27" t="s">
        <v>52</v>
      </c>
    </row>
    <row r="28" spans="1:9" x14ac:dyDescent="0.2">
      <c r="A28">
        <v>45680.367232106481</v>
      </c>
      <c r="B28" s="19" t="s">
        <v>95</v>
      </c>
      <c r="C28" t="s">
        <v>88</v>
      </c>
      <c r="D28" t="s">
        <v>96</v>
      </c>
      <c r="E28" t="s">
        <v>107</v>
      </c>
      <c r="F28" t="s">
        <v>101</v>
      </c>
      <c r="G28" t="s">
        <v>98</v>
      </c>
      <c r="H28" t="s">
        <v>15</v>
      </c>
      <c r="I28" t="s">
        <v>33</v>
      </c>
    </row>
    <row r="29" spans="1:9" x14ac:dyDescent="0.2">
      <c r="A29">
        <v>45680.406850486106</v>
      </c>
      <c r="B29" s="19" t="s">
        <v>108</v>
      </c>
      <c r="C29" t="s">
        <v>88</v>
      </c>
      <c r="D29" t="s">
        <v>102</v>
      </c>
      <c r="E29" t="s">
        <v>97</v>
      </c>
      <c r="F29" t="s">
        <v>104</v>
      </c>
      <c r="G29" t="s">
        <v>98</v>
      </c>
      <c r="H29" t="s">
        <v>23</v>
      </c>
      <c r="I29" t="s">
        <v>55</v>
      </c>
    </row>
    <row r="30" spans="1:9" x14ac:dyDescent="0.2">
      <c r="A30">
        <v>45680.431812222218</v>
      </c>
      <c r="B30" s="19" t="s">
        <v>99</v>
      </c>
      <c r="C30" t="s">
        <v>88</v>
      </c>
      <c r="D30" t="s">
        <v>102</v>
      </c>
      <c r="E30" t="s">
        <v>97</v>
      </c>
      <c r="F30" t="s">
        <v>98</v>
      </c>
      <c r="G30" t="s">
        <v>98</v>
      </c>
      <c r="H30" t="s">
        <v>15</v>
      </c>
      <c r="I30" t="s">
        <v>56</v>
      </c>
    </row>
    <row r="31" spans="1:9" x14ac:dyDescent="0.2">
      <c r="A31">
        <v>45680.441968368061</v>
      </c>
      <c r="B31" s="19" t="s">
        <v>99</v>
      </c>
      <c r="C31" t="s">
        <v>88</v>
      </c>
      <c r="D31" t="s">
        <v>102</v>
      </c>
      <c r="E31" t="s">
        <v>97</v>
      </c>
      <c r="F31" t="s">
        <v>98</v>
      </c>
      <c r="G31" t="s">
        <v>98</v>
      </c>
      <c r="H31" t="s">
        <v>15</v>
      </c>
      <c r="I31" t="s">
        <v>58</v>
      </c>
    </row>
    <row r="32" spans="1:9" x14ac:dyDescent="0.2">
      <c r="A32">
        <v>45680.48148751157</v>
      </c>
      <c r="B32" s="19" t="s">
        <v>99</v>
      </c>
      <c r="C32" t="s">
        <v>88</v>
      </c>
      <c r="D32" t="s">
        <v>96</v>
      </c>
      <c r="E32" t="s">
        <v>97</v>
      </c>
      <c r="F32" t="s">
        <v>98</v>
      </c>
      <c r="G32" t="s">
        <v>98</v>
      </c>
      <c r="H32" t="s">
        <v>23</v>
      </c>
      <c r="I32" t="s">
        <v>59</v>
      </c>
    </row>
    <row r="33" spans="1:9" x14ac:dyDescent="0.2">
      <c r="A33">
        <v>45680.565484942126</v>
      </c>
      <c r="B33" s="19" t="s">
        <v>108</v>
      </c>
      <c r="C33" t="s">
        <v>88</v>
      </c>
      <c r="D33" t="s">
        <v>102</v>
      </c>
      <c r="E33" t="s">
        <v>105</v>
      </c>
      <c r="F33" t="s">
        <v>98</v>
      </c>
      <c r="G33" t="s">
        <v>98</v>
      </c>
      <c r="H33" t="s">
        <v>23</v>
      </c>
      <c r="I33" t="s">
        <v>33</v>
      </c>
    </row>
    <row r="34" spans="1:9" x14ac:dyDescent="0.2">
      <c r="A34">
        <v>45680.618683113426</v>
      </c>
      <c r="B34" s="19" t="s">
        <v>108</v>
      </c>
      <c r="C34" t="s">
        <v>106</v>
      </c>
      <c r="D34" t="s">
        <v>96</v>
      </c>
      <c r="E34" t="s">
        <v>107</v>
      </c>
      <c r="F34" t="s">
        <v>104</v>
      </c>
      <c r="G34" t="s">
        <v>97</v>
      </c>
      <c r="I34" t="s">
        <v>61</v>
      </c>
    </row>
    <row r="35" spans="1:9" x14ac:dyDescent="0.2">
      <c r="A35">
        <v>45680.830201423611</v>
      </c>
      <c r="B35" s="19" t="s">
        <v>99</v>
      </c>
      <c r="C35" t="s">
        <v>88</v>
      </c>
      <c r="D35" t="s">
        <v>102</v>
      </c>
      <c r="E35" t="s">
        <v>97</v>
      </c>
      <c r="F35" t="s">
        <v>101</v>
      </c>
      <c r="G35" t="s">
        <v>103</v>
      </c>
      <c r="H35" t="s">
        <v>23</v>
      </c>
      <c r="I35" t="s">
        <v>33</v>
      </c>
    </row>
    <row r="36" spans="1:9" x14ac:dyDescent="0.2">
      <c r="A36">
        <v>45681.375439791664</v>
      </c>
      <c r="B36" s="19">
        <v>0</v>
      </c>
      <c r="C36" t="s">
        <v>87</v>
      </c>
      <c r="D36" t="s">
        <v>102</v>
      </c>
      <c r="E36" t="s">
        <v>97</v>
      </c>
      <c r="F36" t="s">
        <v>98</v>
      </c>
      <c r="G36" t="s">
        <v>98</v>
      </c>
      <c r="H36" t="s">
        <v>15</v>
      </c>
      <c r="I36" t="s">
        <v>64</v>
      </c>
    </row>
    <row r="37" spans="1:9" x14ac:dyDescent="0.2">
      <c r="A37">
        <v>45681.725939340278</v>
      </c>
      <c r="B37" s="19" t="s">
        <v>95</v>
      </c>
      <c r="C37" t="s">
        <v>88</v>
      </c>
      <c r="D37" t="s">
        <v>96</v>
      </c>
      <c r="E37" t="s">
        <v>97</v>
      </c>
      <c r="F37" t="s">
        <v>101</v>
      </c>
      <c r="G37" t="s">
        <v>103</v>
      </c>
      <c r="H37" t="s">
        <v>15</v>
      </c>
      <c r="I37" t="s">
        <v>65</v>
      </c>
    </row>
    <row r="38" spans="1:9" x14ac:dyDescent="0.2">
      <c r="A38">
        <v>45681.922197743057</v>
      </c>
      <c r="B38" s="19" t="s">
        <v>95</v>
      </c>
      <c r="C38" t="s">
        <v>88</v>
      </c>
      <c r="D38" t="s">
        <v>96</v>
      </c>
      <c r="E38" t="s">
        <v>105</v>
      </c>
      <c r="F38" t="s">
        <v>104</v>
      </c>
      <c r="G38" t="s">
        <v>97</v>
      </c>
    </row>
    <row r="39" spans="1:9" x14ac:dyDescent="0.2">
      <c r="A39">
        <v>45682.499760752311</v>
      </c>
      <c r="B39" s="19">
        <v>0</v>
      </c>
      <c r="C39" t="s">
        <v>88</v>
      </c>
      <c r="D39" t="s">
        <v>97</v>
      </c>
      <c r="E39" t="s">
        <v>97</v>
      </c>
      <c r="F39" t="s">
        <v>101</v>
      </c>
      <c r="G39" t="s">
        <v>97</v>
      </c>
      <c r="I39" t="s">
        <v>33</v>
      </c>
    </row>
    <row r="40" spans="1:9" x14ac:dyDescent="0.2">
      <c r="A40">
        <v>45683.328517453701</v>
      </c>
      <c r="B40" s="19">
        <v>0</v>
      </c>
      <c r="C40" t="s">
        <v>88</v>
      </c>
      <c r="D40" t="s">
        <v>96</v>
      </c>
      <c r="E40" t="s">
        <v>97</v>
      </c>
      <c r="F40" t="s">
        <v>98</v>
      </c>
      <c r="G40" t="s">
        <v>97</v>
      </c>
      <c r="I40" t="s">
        <v>66</v>
      </c>
    </row>
    <row r="41" spans="1:9" x14ac:dyDescent="0.2">
      <c r="A41">
        <v>45684.567461863422</v>
      </c>
      <c r="B41" s="19">
        <v>0</v>
      </c>
      <c r="C41" t="s">
        <v>88</v>
      </c>
      <c r="D41" t="s">
        <v>102</v>
      </c>
      <c r="E41" t="s">
        <v>97</v>
      </c>
      <c r="F41" t="s">
        <v>98</v>
      </c>
      <c r="G41" t="s">
        <v>98</v>
      </c>
      <c r="H41" t="s">
        <v>15</v>
      </c>
      <c r="I41" t="s">
        <v>67</v>
      </c>
    </row>
    <row r="42" spans="1:9" x14ac:dyDescent="0.2">
      <c r="A42">
        <v>45686.663391539347</v>
      </c>
      <c r="B42" s="19">
        <v>0</v>
      </c>
      <c r="C42" t="s">
        <v>88</v>
      </c>
      <c r="D42" t="s">
        <v>97</v>
      </c>
      <c r="E42" t="s">
        <v>97</v>
      </c>
      <c r="F42" t="s">
        <v>98</v>
      </c>
      <c r="G42" t="s">
        <v>98</v>
      </c>
      <c r="H42" t="s">
        <v>15</v>
      </c>
      <c r="I42" t="s">
        <v>68</v>
      </c>
    </row>
    <row r="43" spans="1:9" x14ac:dyDescent="0.2">
      <c r="A43">
        <v>45686.677430983793</v>
      </c>
      <c r="B43" s="19" t="s">
        <v>99</v>
      </c>
      <c r="C43" t="s">
        <v>88</v>
      </c>
      <c r="D43" t="s">
        <v>102</v>
      </c>
      <c r="E43" t="s">
        <v>97</v>
      </c>
      <c r="F43" t="s">
        <v>101</v>
      </c>
      <c r="G43" t="s">
        <v>97</v>
      </c>
      <c r="I43" t="s">
        <v>27</v>
      </c>
    </row>
    <row r="44" spans="1:9" x14ac:dyDescent="0.2">
      <c r="A44">
        <v>45686.707806087958</v>
      </c>
      <c r="B44" s="19">
        <v>0</v>
      </c>
      <c r="C44" t="s">
        <v>88</v>
      </c>
      <c r="D44" t="s">
        <v>96</v>
      </c>
      <c r="E44" t="s">
        <v>97</v>
      </c>
      <c r="F44" t="s">
        <v>101</v>
      </c>
      <c r="G44" t="s">
        <v>97</v>
      </c>
      <c r="I44" t="s">
        <v>66</v>
      </c>
    </row>
    <row r="45" spans="1:9" x14ac:dyDescent="0.2">
      <c r="A45">
        <v>45687.43021337963</v>
      </c>
      <c r="B45" s="19" t="s">
        <v>95</v>
      </c>
      <c r="C45" t="s">
        <v>87</v>
      </c>
      <c r="D45" t="s">
        <v>96</v>
      </c>
      <c r="E45" t="s">
        <v>97</v>
      </c>
      <c r="F45" t="s">
        <v>101</v>
      </c>
      <c r="G45" t="s">
        <v>98</v>
      </c>
      <c r="H45" t="s">
        <v>15</v>
      </c>
    </row>
    <row r="46" spans="1:9" x14ac:dyDescent="0.2">
      <c r="A46">
        <v>45692.384191446763</v>
      </c>
      <c r="B46" s="19">
        <v>0</v>
      </c>
      <c r="C46" t="s">
        <v>87</v>
      </c>
      <c r="D46" t="s">
        <v>96</v>
      </c>
      <c r="E46" t="s">
        <v>97</v>
      </c>
      <c r="F46" t="s">
        <v>101</v>
      </c>
      <c r="G46" t="s">
        <v>98</v>
      </c>
      <c r="H46" t="s">
        <v>15</v>
      </c>
      <c r="I46" t="s">
        <v>24</v>
      </c>
    </row>
    <row r="47" spans="1:9" x14ac:dyDescent="0.2">
      <c r="A47">
        <v>45695.495939976856</v>
      </c>
      <c r="B47" s="19" t="s">
        <v>95</v>
      </c>
      <c r="C47" t="s">
        <v>88</v>
      </c>
      <c r="D47" t="s">
        <v>96</v>
      </c>
      <c r="E47" t="s">
        <v>97</v>
      </c>
      <c r="F47" t="s">
        <v>98</v>
      </c>
      <c r="G47" t="s">
        <v>98</v>
      </c>
      <c r="H47" t="s">
        <v>23</v>
      </c>
      <c r="I47" t="s">
        <v>29</v>
      </c>
    </row>
    <row r="48" spans="1:9" x14ac:dyDescent="0.2">
      <c r="A48">
        <v>45699.86394210648</v>
      </c>
      <c r="B48" s="19">
        <v>0</v>
      </c>
      <c r="C48" t="s">
        <v>88</v>
      </c>
      <c r="D48" t="s">
        <v>96</v>
      </c>
      <c r="E48" t="s">
        <v>97</v>
      </c>
      <c r="F48" t="s">
        <v>98</v>
      </c>
      <c r="G48" t="s">
        <v>98</v>
      </c>
      <c r="H48" t="s">
        <v>15</v>
      </c>
      <c r="I48" t="s">
        <v>69</v>
      </c>
    </row>
    <row r="49" spans="1:9" x14ac:dyDescent="0.2">
      <c r="A49">
        <v>45738.551559270833</v>
      </c>
      <c r="B49" s="19" t="s">
        <v>108</v>
      </c>
      <c r="C49" t="s">
        <v>88</v>
      </c>
      <c r="D49" t="s">
        <v>102</v>
      </c>
      <c r="E49" t="s">
        <v>97</v>
      </c>
      <c r="F49" t="s">
        <v>101</v>
      </c>
      <c r="G49" t="s">
        <v>98</v>
      </c>
      <c r="H49" t="s">
        <v>15</v>
      </c>
      <c r="I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Form Responses 1</vt:lpstr>
      <vt:lpstr>Sheet4</vt:lpstr>
      <vt:lpstr>step1</vt:lpstr>
      <vt:lpstr>step2</vt:lpstr>
      <vt:lpstr>step3</vt:lpstr>
      <vt:lpstr>step3.1</vt:lpstr>
      <vt:lpstr>branch1</vt:lpstr>
      <vt:lpstr>branch1_step2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Helfenstein</dc:creator>
  <cp:lastModifiedBy>Helfenstein  Jan</cp:lastModifiedBy>
  <dcterms:created xsi:type="dcterms:W3CDTF">2025-03-24T15:56:57Z</dcterms:created>
  <dcterms:modified xsi:type="dcterms:W3CDTF">2025-03-25T18:22:16Z</dcterms:modified>
</cp:coreProperties>
</file>