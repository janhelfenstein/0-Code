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hz-my.sharepoint.com/personal/janh_ethz_ch/Documents/0-Code/"/>
    </mc:Choice>
  </mc:AlternateContent>
  <xr:revisionPtr revIDLastSave="45" documentId="8_{8BCDDED6-FFD9-4D03-9F5F-73446913097D}" xr6:coauthVersionLast="47" xr6:coauthVersionMax="47" xr10:uidLastSave="{E81F9F78-CE25-436A-94B5-EAD4EBEFC6F7}"/>
  <bookViews>
    <workbookView xWindow="-108" yWindow="-108" windowWidth="23256" windowHeight="12456" activeTab="1" xr2:uid="{D3D7CF11-9046-489E-95CF-749DC415BB4B}"/>
  </bookViews>
  <sheets>
    <sheet name="raw paste" sheetId="1" r:id="rId1"/>
    <sheet name="preraw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2" i="2"/>
  <c r="L3" i="2"/>
  <c r="M3" i="2" s="1"/>
  <c r="L4" i="2"/>
  <c r="M4" i="2" s="1"/>
  <c r="L5" i="2"/>
  <c r="M5" i="2" s="1"/>
  <c r="L6" i="2"/>
  <c r="M6" i="2" s="1"/>
  <c r="L7" i="2"/>
  <c r="M7" i="2" s="1"/>
  <c r="L8" i="2"/>
  <c r="M8" i="2" s="1"/>
  <c r="L9" i="2"/>
  <c r="M9" i="2" s="1"/>
  <c r="L10" i="2"/>
  <c r="M10" i="2" s="1"/>
  <c r="L11" i="2"/>
  <c r="M11" i="2" s="1"/>
  <c r="L12" i="2"/>
  <c r="M12" i="2" s="1"/>
  <c r="L13" i="2"/>
  <c r="M13" i="2" s="1"/>
  <c r="L14" i="2"/>
  <c r="M14" i="2" s="1"/>
  <c r="L15" i="2"/>
  <c r="M15" i="2" s="1"/>
  <c r="L16" i="2"/>
  <c r="M16" i="2" s="1"/>
  <c r="L17" i="2"/>
  <c r="M17" i="2" s="1"/>
  <c r="L18" i="2"/>
  <c r="M18" i="2" s="1"/>
  <c r="L19" i="2"/>
  <c r="M19" i="2" s="1"/>
  <c r="L20" i="2"/>
  <c r="M20" i="2" s="1"/>
  <c r="L21" i="2"/>
  <c r="M21" i="2" s="1"/>
  <c r="L22" i="2"/>
  <c r="M22" i="2" s="1"/>
  <c r="L23" i="2"/>
  <c r="M23" i="2" s="1"/>
  <c r="L24" i="2"/>
  <c r="M24" i="2" s="1"/>
  <c r="L25" i="2"/>
  <c r="M25" i="2" s="1"/>
  <c r="L26" i="2"/>
  <c r="M26" i="2" s="1"/>
  <c r="L27" i="2"/>
  <c r="M27" i="2" s="1"/>
  <c r="L28" i="2"/>
  <c r="M28" i="2" s="1"/>
  <c r="L29" i="2"/>
  <c r="M29" i="2" s="1"/>
  <c r="L30" i="2"/>
  <c r="M30" i="2" s="1"/>
  <c r="L31" i="2"/>
  <c r="M31" i="2" s="1"/>
  <c r="L32" i="2"/>
  <c r="M32" i="2" s="1"/>
  <c r="L33" i="2"/>
  <c r="M33" i="2" s="1"/>
  <c r="L34" i="2"/>
  <c r="M34" i="2" s="1"/>
  <c r="L35" i="2"/>
  <c r="M35" i="2" s="1"/>
  <c r="L36" i="2"/>
  <c r="M36" i="2" s="1"/>
  <c r="L37" i="2"/>
  <c r="M37" i="2" s="1"/>
  <c r="L38" i="2"/>
  <c r="M38" i="2" s="1"/>
  <c r="L39" i="2"/>
  <c r="M39" i="2" s="1"/>
  <c r="L40" i="2"/>
  <c r="M40" i="2" s="1"/>
  <c r="L41" i="2"/>
  <c r="M41" i="2" s="1"/>
  <c r="L42" i="2"/>
  <c r="M42" i="2" s="1"/>
  <c r="L43" i="2"/>
  <c r="M43" i="2" s="1"/>
  <c r="L44" i="2"/>
  <c r="M44" i="2" s="1"/>
  <c r="L45" i="2"/>
  <c r="M45" i="2" s="1"/>
  <c r="L46" i="2"/>
  <c r="M46" i="2" s="1"/>
  <c r="L47" i="2"/>
  <c r="M47" i="2" s="1"/>
  <c r="L48" i="2"/>
  <c r="M48" i="2" s="1"/>
  <c r="L49" i="2"/>
  <c r="M49" i="2" s="1"/>
  <c r="L50" i="2"/>
  <c r="M50" i="2" s="1"/>
  <c r="L51" i="2"/>
  <c r="M51" i="2" s="1"/>
  <c r="L52" i="2"/>
  <c r="M52" i="2" s="1"/>
  <c r="L53" i="2"/>
  <c r="M53" i="2" s="1"/>
  <c r="L54" i="2"/>
  <c r="M54" i="2" s="1"/>
  <c r="L55" i="2"/>
  <c r="M55" i="2" s="1"/>
  <c r="L56" i="2"/>
  <c r="M56" i="2" s="1"/>
  <c r="L57" i="2"/>
  <c r="M57" i="2" s="1"/>
  <c r="L58" i="2"/>
  <c r="M58" i="2" s="1"/>
  <c r="L59" i="2"/>
  <c r="M59" i="2" s="1"/>
  <c r="L60" i="2"/>
  <c r="M60" i="2" s="1"/>
  <c r="L61" i="2"/>
  <c r="M61" i="2" s="1"/>
  <c r="L62" i="2"/>
  <c r="M62" i="2" s="1"/>
  <c r="L63" i="2"/>
  <c r="M63" i="2" s="1"/>
  <c r="L64" i="2"/>
  <c r="M64" i="2" s="1"/>
  <c r="L65" i="2"/>
  <c r="M65" i="2" s="1"/>
  <c r="L66" i="2"/>
  <c r="M66" i="2" s="1"/>
  <c r="L67" i="2"/>
  <c r="M67" i="2" s="1"/>
  <c r="L68" i="2"/>
  <c r="M68" i="2" s="1"/>
  <c r="L69" i="2"/>
  <c r="M69" i="2" s="1"/>
  <c r="L70" i="2"/>
  <c r="M70" i="2" s="1"/>
  <c r="L71" i="2"/>
  <c r="M71" i="2" s="1"/>
  <c r="L72" i="2"/>
  <c r="M72" i="2" s="1"/>
  <c r="L73" i="2"/>
  <c r="M73" i="2" s="1"/>
  <c r="L74" i="2"/>
  <c r="M74" i="2" s="1"/>
  <c r="L75" i="2"/>
  <c r="M75" i="2" s="1"/>
  <c r="L76" i="2"/>
  <c r="M76" i="2" s="1"/>
  <c r="L77" i="2"/>
  <c r="M77" i="2" s="1"/>
  <c r="L78" i="2"/>
  <c r="M78" i="2" s="1"/>
  <c r="L79" i="2"/>
  <c r="M79" i="2" s="1"/>
  <c r="L80" i="2"/>
  <c r="M80" i="2" s="1"/>
  <c r="L81" i="2"/>
  <c r="M81" i="2" s="1"/>
  <c r="L82" i="2"/>
  <c r="M82" i="2" s="1"/>
  <c r="L83" i="2"/>
  <c r="M83" i="2" s="1"/>
  <c r="L84" i="2"/>
  <c r="M84" i="2" s="1"/>
  <c r="L85" i="2"/>
  <c r="M85" i="2" s="1"/>
  <c r="L86" i="2"/>
  <c r="M86" i="2" s="1"/>
  <c r="L87" i="2"/>
  <c r="M87" i="2" s="1"/>
  <c r="L88" i="2"/>
  <c r="M88" i="2" s="1"/>
  <c r="L89" i="2"/>
  <c r="M89" i="2" s="1"/>
  <c r="L90" i="2"/>
  <c r="M90" i="2" s="1"/>
  <c r="L91" i="2"/>
  <c r="M91" i="2" s="1"/>
  <c r="L92" i="2"/>
  <c r="M92" i="2" s="1"/>
  <c r="L93" i="2"/>
  <c r="M93" i="2" s="1"/>
  <c r="L94" i="2"/>
  <c r="M94" i="2" s="1"/>
  <c r="L95" i="2"/>
  <c r="M95" i="2" s="1"/>
  <c r="L96" i="2"/>
  <c r="M96" i="2" s="1"/>
  <c r="L97" i="2"/>
  <c r="M97" i="2" s="1"/>
  <c r="L98" i="2"/>
  <c r="M98" i="2" s="1"/>
  <c r="L99" i="2"/>
  <c r="M99" i="2" s="1"/>
  <c r="L100" i="2"/>
  <c r="M100" i="2" s="1"/>
  <c r="L101" i="2"/>
  <c r="M101" i="2" s="1"/>
  <c r="L2" i="2"/>
  <c r="M2" i="2" s="1"/>
</calcChain>
</file>

<file path=xl/sharedStrings.xml><?xml version="1.0" encoding="utf-8"?>
<sst xmlns="http://schemas.openxmlformats.org/spreadsheetml/2006/main" count="671" uniqueCount="179">
  <si>
    <t>Rang</t>
  </si>
  <si>
    <t>Startnr.</t>
  </si>
  <si>
    <t>Name</t>
  </si>
  <si>
    <t>Jahrg.</t>
  </si>
  <si>
    <t>Nation</t>
  </si>
  <si>
    <t>Link</t>
  </si>
  <si>
    <t>m/w</t>
  </si>
  <si>
    <t>Verein</t>
  </si>
  <si>
    <t>Zeit</t>
  </si>
  <si>
    <t>Männer</t>
  </si>
  <si>
    <t>Morgan Le Guen</t>
  </si>
  <si>
    <t>Fotos</t>
  </si>
  <si>
    <t>m</t>
  </si>
  <si>
    <t>Stade Genève</t>
  </si>
  <si>
    <t>Simon Tesfay</t>
  </si>
  <si>
    <t>LC Uster</t>
  </si>
  <si>
    <t>Guillaume Cachelin</t>
  </si>
  <si>
    <t>Nathan Wanner</t>
  </si>
  <si>
    <t>CA Sion</t>
  </si>
  <si>
    <t>Manu Sassi</t>
  </si>
  <si>
    <t>CS 13 étoiles</t>
  </si>
  <si>
    <t>Robin Mennet</t>
  </si>
  <si>
    <t>Ilias Hernandez</t>
  </si>
  <si>
    <t>Janis Gächter</t>
  </si>
  <si>
    <t>Jan Rüttimann</t>
  </si>
  <si>
    <t>Gaël Planes</t>
  </si>
  <si>
    <t>CTT</t>
  </si>
  <si>
    <t>Daniel Lustenberger</t>
  </si>
  <si>
    <t>LV Horw</t>
  </si>
  <si>
    <t>Martin Zürcher</t>
  </si>
  <si>
    <t>swiss masters running 4</t>
  </si>
  <si>
    <t>Armin Flückiger</t>
  </si>
  <si>
    <t>TV Oerlikon</t>
  </si>
  <si>
    <t>Jérémy Schouwey</t>
  </si>
  <si>
    <t>CS Broc / Trilogie Sport</t>
  </si>
  <si>
    <t>Phil Besson</t>
  </si>
  <si>
    <t>TV Thalwil</t>
  </si>
  <si>
    <t>Nicola Hagger</t>
  </si>
  <si>
    <t>LC Regensdorf</t>
  </si>
  <si>
    <t>Ricardo Pinto</t>
  </si>
  <si>
    <t>Marc Rotzetter</t>
  </si>
  <si>
    <t>Athletic Team Rechthalten</t>
  </si>
  <si>
    <t>David Senn</t>
  </si>
  <si>
    <t>Stefan Ulrich</t>
  </si>
  <si>
    <t>Valentin Gutknecht</t>
  </si>
  <si>
    <t>TV Riehen</t>
  </si>
  <si>
    <t>Tim Hübscher</t>
  </si>
  <si>
    <t>LC Schaffhausen</t>
  </si>
  <si>
    <t>Linus Bernhard</t>
  </si>
  <si>
    <t>LAC TV Unterstrass</t>
  </si>
  <si>
    <t>Samuel Morf</t>
  </si>
  <si>
    <t>Alex Stricker</t>
  </si>
  <si>
    <t>Tommaso Marani</t>
  </si>
  <si>
    <t>SAL - Società Atletica Lugano</t>
  </si>
  <si>
    <t>Samir Vetterli</t>
  </si>
  <si>
    <t>Flurin Leugger</t>
  </si>
  <si>
    <t>LC Basel</t>
  </si>
  <si>
    <t>Stephan Lowiner</t>
  </si>
  <si>
    <t>Miro Mülli</t>
  </si>
  <si>
    <t>Sven Marti</t>
  </si>
  <si>
    <t>LA Nidwalden</t>
  </si>
  <si>
    <t>Lorin Länzlinger</t>
  </si>
  <si>
    <t>KTV Wil LA</t>
  </si>
  <si>
    <t>Timo Marquetant</t>
  </si>
  <si>
    <t>Philipp Arnold</t>
  </si>
  <si>
    <t>LC Zürich</t>
  </si>
  <si>
    <t>Jérôme Vuichard</t>
  </si>
  <si>
    <t>Loic Dubois</t>
  </si>
  <si>
    <t>ATHLETISME VISEU-GENEVE</t>
  </si>
  <si>
    <t>David Baumberger</t>
  </si>
  <si>
    <t>Samuel Mayer Rey Despenzia</t>
  </si>
  <si>
    <t>Mark Lagerström</t>
  </si>
  <si>
    <t>SV WIEDIKON</t>
  </si>
  <si>
    <t>Gian-Luca Michael</t>
  </si>
  <si>
    <t>BTV Chur</t>
  </si>
  <si>
    <t>Emanuel Ritzmann</t>
  </si>
  <si>
    <t>All Blacks Thun</t>
  </si>
  <si>
    <t>Ivo Zangger</t>
  </si>
  <si>
    <t>STB</t>
  </si>
  <si>
    <t>Christian Sommer</t>
  </si>
  <si>
    <t>Roman Vögeli</t>
  </si>
  <si>
    <t>LAR TV Windisch</t>
  </si>
  <si>
    <t>David Girardet</t>
  </si>
  <si>
    <t>Trilogie Sport Revario</t>
  </si>
  <si>
    <t>Christian Fischer</t>
  </si>
  <si>
    <t>LCA Bärn</t>
  </si>
  <si>
    <t>Jonas Oliva</t>
  </si>
  <si>
    <t>GAB Bellinzona</t>
  </si>
  <si>
    <t>Elia Maggetti</t>
  </si>
  <si>
    <t>Virtus Locarno</t>
  </si>
  <si>
    <t>Christophe Heydel</t>
  </si>
  <si>
    <t>Triathlon Red Fish Neuchatel</t>
  </si>
  <si>
    <t>Dario Werder</t>
  </si>
  <si>
    <t>LC Frauenfeld</t>
  </si>
  <si>
    <t>Thomas Pedrazzoli</t>
  </si>
  <si>
    <t>Finn Wüst</t>
  </si>
  <si>
    <t>LR Ebikon</t>
  </si>
  <si>
    <t>Michael Steiner</t>
  </si>
  <si>
    <t>Cecil Wheeler</t>
  </si>
  <si>
    <t>Laufgruppe Cham</t>
  </si>
  <si>
    <t>Philipp Bütikofer</t>
  </si>
  <si>
    <t>Smrun</t>
  </si>
  <si>
    <t>Ivan Schmid</t>
  </si>
  <si>
    <t>NSK Thun</t>
  </si>
  <si>
    <t>Alessandro Zanetti</t>
  </si>
  <si>
    <t>USC Capriaschese</t>
  </si>
  <si>
    <t>Simon Lloyd</t>
  </si>
  <si>
    <t>Adria Alcala</t>
  </si>
  <si>
    <t>LV Langenthal</t>
  </si>
  <si>
    <t>Stefan Epp</t>
  </si>
  <si>
    <t>Lauftreff Uri</t>
  </si>
  <si>
    <t>Nicolà Gfeller</t>
  </si>
  <si>
    <t>3star cats wallisellen</t>
  </si>
  <si>
    <t>Robin Oberholzer</t>
  </si>
  <si>
    <t>Silvan Rohr</t>
  </si>
  <si>
    <t>STV/DTV Staufen</t>
  </si>
  <si>
    <t>Marcel Tschopp</t>
  </si>
  <si>
    <t>Philipp Döbeli</t>
  </si>
  <si>
    <t>Basile Schneider</t>
  </si>
  <si>
    <t>Julian Gundi</t>
  </si>
  <si>
    <t>TV Reussbühl</t>
  </si>
  <si>
    <t>Oliver Daniel Senn</t>
  </si>
  <si>
    <t>LAR TV Windisch / SMRun</t>
  </si>
  <si>
    <t>Andrew Kelly</t>
  </si>
  <si>
    <t>Fritz Leibundgut</t>
  </si>
  <si>
    <t>Quentin Mariaux</t>
  </si>
  <si>
    <t>Mountain Performance</t>
  </si>
  <si>
    <t>Reto Althaus</t>
  </si>
  <si>
    <t>Daniel Bouzon</t>
  </si>
  <si>
    <t>Yves Anderegg</t>
  </si>
  <si>
    <t>TV Würenlos / smrun</t>
  </si>
  <si>
    <t>Rodriguez Harlin</t>
  </si>
  <si>
    <t>crossfirecoaching</t>
  </si>
  <si>
    <t>Micha Ziegler</t>
  </si>
  <si>
    <t>Björn Imboden</t>
  </si>
  <si>
    <t>Üschnüfu Ischnüfu</t>
  </si>
  <si>
    <t>Aeneas Appius</t>
  </si>
  <si>
    <t>Marco Rothenfluh</t>
  </si>
  <si>
    <t>Christoph Seiler</t>
  </si>
  <si>
    <t>TV Unterseen</t>
  </si>
  <si>
    <t>Christoph Feremutsch</t>
  </si>
  <si>
    <t>Beton Niederlenz - Lenzburg AG</t>
  </si>
  <si>
    <t>Stephen Dunlop</t>
  </si>
  <si>
    <t>KTV Altendorf /smrun</t>
  </si>
  <si>
    <t>Benjamin Rérat</t>
  </si>
  <si>
    <t>FSG Courroux</t>
  </si>
  <si>
    <t>Roger Riegendinger</t>
  </si>
  <si>
    <t>ST Bern</t>
  </si>
  <si>
    <t>Stephan Mumenthaler</t>
  </si>
  <si>
    <t>smrun / UBS Laufclub</t>
  </si>
  <si>
    <t>Albino Ribeiro</t>
  </si>
  <si>
    <t>Lauftreff Thun</t>
  </si>
  <si>
    <t>Stefan Jucker</t>
  </si>
  <si>
    <t>run4fun.ch</t>
  </si>
  <si>
    <t>Olivier Schild</t>
  </si>
  <si>
    <t>Thomas Wirz</t>
  </si>
  <si>
    <t>Enrique Fernandez</t>
  </si>
  <si>
    <t>Patrick Schmid</t>
  </si>
  <si>
    <t>Stephan Karlen</t>
  </si>
  <si>
    <t>Triclub Aarau</t>
  </si>
  <si>
    <t>Frédéric Ferreira</t>
  </si>
  <si>
    <t>Raphael Renaud</t>
  </si>
  <si>
    <t>Stephan Sutter</t>
  </si>
  <si>
    <t>Ueli Wäfler</t>
  </si>
  <si>
    <t>smrun</t>
  </si>
  <si>
    <t>Björn Müller</t>
  </si>
  <si>
    <t>Arthur Fernandes</t>
  </si>
  <si>
    <t>Thomas Leibundgut</t>
  </si>
  <si>
    <t>Heinz Luder</t>
  </si>
  <si>
    <t>Lc Uster</t>
  </si>
  <si>
    <t>rank</t>
  </si>
  <si>
    <t>name</t>
  </si>
  <si>
    <t>yearofbirth</t>
  </si>
  <si>
    <t>club</t>
  </si>
  <si>
    <t>time</t>
  </si>
  <si>
    <t>time_s</t>
  </si>
  <si>
    <t>s_per_k</t>
  </si>
  <si>
    <t>firstname</t>
  </si>
  <si>
    <t>lastname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</si>
</sst>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4466E-F710-4373-8183-E078476AC67E}">
  <dimension ref="A1:J103"/>
  <sheetViews>
    <sheetView workbookViewId="0"/>
  </sheetViews>
  <sheetFormatPr defaultColWidth="11.5546875" defaultRowHeight="14.4" x14ac:dyDescent="0.3"/>
  <sheetData>
    <row r="1" spans="1:10" x14ac:dyDescent="0.3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3">
      <c r="A2" t="s">
        <v>0</v>
      </c>
    </row>
    <row r="3" spans="1:10" x14ac:dyDescent="0.3">
      <c r="A3" t="s">
        <v>9</v>
      </c>
    </row>
    <row r="4" spans="1:10" x14ac:dyDescent="0.3">
      <c r="B4">
        <v>1</v>
      </c>
      <c r="C4">
        <v>542</v>
      </c>
      <c r="D4" t="s">
        <v>10</v>
      </c>
      <c r="E4">
        <v>1993</v>
      </c>
      <c r="G4" t="s">
        <v>11</v>
      </c>
      <c r="H4" t="s">
        <v>12</v>
      </c>
      <c r="I4" t="s">
        <v>13</v>
      </c>
      <c r="J4" s="1">
        <v>2.0694444444444446E-2</v>
      </c>
    </row>
    <row r="5" spans="1:10" x14ac:dyDescent="0.3">
      <c r="B5">
        <v>2</v>
      </c>
      <c r="C5">
        <v>590</v>
      </c>
      <c r="D5" t="s">
        <v>14</v>
      </c>
      <c r="E5">
        <v>1985</v>
      </c>
      <c r="G5" t="s">
        <v>11</v>
      </c>
      <c r="H5" t="s">
        <v>12</v>
      </c>
      <c r="I5" t="s">
        <v>15</v>
      </c>
      <c r="J5" s="1">
        <v>2.105324074074074E-2</v>
      </c>
    </row>
    <row r="6" spans="1:10" x14ac:dyDescent="0.3">
      <c r="B6">
        <v>3</v>
      </c>
      <c r="C6">
        <v>543</v>
      </c>
      <c r="D6" t="s">
        <v>16</v>
      </c>
      <c r="E6">
        <v>1996</v>
      </c>
      <c r="G6" t="s">
        <v>11</v>
      </c>
      <c r="H6" t="s">
        <v>12</v>
      </c>
      <c r="I6" t="s">
        <v>13</v>
      </c>
      <c r="J6" s="1">
        <v>2.1076388888888888E-2</v>
      </c>
    </row>
    <row r="7" spans="1:10" x14ac:dyDescent="0.3">
      <c r="B7">
        <v>4</v>
      </c>
      <c r="C7">
        <v>452</v>
      </c>
      <c r="D7" t="s">
        <v>17</v>
      </c>
      <c r="E7">
        <v>2002</v>
      </c>
      <c r="G7" t="s">
        <v>11</v>
      </c>
      <c r="H7" t="s">
        <v>12</v>
      </c>
      <c r="I7" t="s">
        <v>18</v>
      </c>
      <c r="J7" s="1">
        <v>2.1643518518518517E-2</v>
      </c>
    </row>
    <row r="8" spans="1:10" x14ac:dyDescent="0.3">
      <c r="B8">
        <v>5</v>
      </c>
      <c r="C8">
        <v>494</v>
      </c>
      <c r="D8" t="s">
        <v>19</v>
      </c>
      <c r="E8">
        <v>1988</v>
      </c>
      <c r="G8" t="s">
        <v>11</v>
      </c>
      <c r="H8" t="s">
        <v>12</v>
      </c>
      <c r="I8" t="s">
        <v>20</v>
      </c>
      <c r="J8" s="1">
        <v>2.1747685185185186E-2</v>
      </c>
    </row>
    <row r="9" spans="1:10" x14ac:dyDescent="0.3">
      <c r="B9">
        <v>6</v>
      </c>
      <c r="C9">
        <v>572</v>
      </c>
      <c r="D9" t="s">
        <v>21</v>
      </c>
      <c r="E9">
        <v>2001</v>
      </c>
      <c r="G9" t="s">
        <v>11</v>
      </c>
      <c r="H9" t="s">
        <v>12</v>
      </c>
      <c r="I9" t="s">
        <v>15</v>
      </c>
      <c r="J9" s="1">
        <v>2.1770833333333333E-2</v>
      </c>
    </row>
    <row r="10" spans="1:10" x14ac:dyDescent="0.3">
      <c r="B10">
        <v>7</v>
      </c>
      <c r="C10">
        <v>521</v>
      </c>
      <c r="D10" t="s">
        <v>22</v>
      </c>
      <c r="E10">
        <v>1993</v>
      </c>
      <c r="G10" t="s">
        <v>11</v>
      </c>
      <c r="H10" t="s">
        <v>12</v>
      </c>
      <c r="I10" t="s">
        <v>13</v>
      </c>
      <c r="J10" s="1">
        <v>2.179398148148148E-2</v>
      </c>
    </row>
    <row r="11" spans="1:10" x14ac:dyDescent="0.3">
      <c r="B11">
        <v>8</v>
      </c>
      <c r="C11">
        <v>569</v>
      </c>
      <c r="D11" t="s">
        <v>23</v>
      </c>
      <c r="E11">
        <v>1996</v>
      </c>
      <c r="G11" t="s">
        <v>11</v>
      </c>
      <c r="H11" t="s">
        <v>12</v>
      </c>
      <c r="I11" t="s">
        <v>15</v>
      </c>
      <c r="J11" s="1">
        <v>2.2152777777777778E-2</v>
      </c>
    </row>
    <row r="12" spans="1:10" x14ac:dyDescent="0.3">
      <c r="B12">
        <v>9</v>
      </c>
      <c r="C12">
        <v>585</v>
      </c>
      <c r="D12" t="s">
        <v>24</v>
      </c>
      <c r="E12">
        <v>1995</v>
      </c>
      <c r="G12" t="s">
        <v>11</v>
      </c>
      <c r="H12" t="s">
        <v>12</v>
      </c>
      <c r="I12" t="s">
        <v>15</v>
      </c>
      <c r="J12" s="1">
        <v>2.2199074074074072E-2</v>
      </c>
    </row>
    <row r="13" spans="1:10" x14ac:dyDescent="0.3">
      <c r="B13">
        <v>10</v>
      </c>
      <c r="C13">
        <v>513</v>
      </c>
      <c r="D13" t="s">
        <v>25</v>
      </c>
      <c r="E13">
        <v>1990</v>
      </c>
      <c r="G13" t="s">
        <v>11</v>
      </c>
      <c r="H13" t="s">
        <v>12</v>
      </c>
      <c r="I13" t="s">
        <v>26</v>
      </c>
      <c r="J13" s="1">
        <v>2.2372685185185186E-2</v>
      </c>
    </row>
    <row r="14" spans="1:10" x14ac:dyDescent="0.3">
      <c r="B14">
        <v>11</v>
      </c>
      <c r="C14">
        <v>630</v>
      </c>
      <c r="D14" t="s">
        <v>27</v>
      </c>
      <c r="E14">
        <v>1992</v>
      </c>
      <c r="G14" t="s">
        <v>11</v>
      </c>
      <c r="H14" t="s">
        <v>12</v>
      </c>
      <c r="I14" t="s">
        <v>28</v>
      </c>
      <c r="J14" s="1">
        <v>2.2418981481481481E-2</v>
      </c>
    </row>
    <row r="15" spans="1:10" x14ac:dyDescent="0.3">
      <c r="B15">
        <v>12</v>
      </c>
      <c r="C15">
        <v>475</v>
      </c>
      <c r="D15" t="s">
        <v>29</v>
      </c>
      <c r="E15">
        <v>1982</v>
      </c>
      <c r="G15" t="s">
        <v>11</v>
      </c>
      <c r="H15" t="s">
        <v>12</v>
      </c>
      <c r="I15" t="s">
        <v>30</v>
      </c>
      <c r="J15" s="1">
        <v>2.2476851851851852E-2</v>
      </c>
    </row>
    <row r="16" spans="1:10" x14ac:dyDescent="0.3">
      <c r="B16">
        <v>13</v>
      </c>
      <c r="C16">
        <v>538</v>
      </c>
      <c r="D16" t="s">
        <v>31</v>
      </c>
      <c r="E16">
        <v>1990</v>
      </c>
      <c r="G16" t="s">
        <v>11</v>
      </c>
      <c r="H16" t="s">
        <v>12</v>
      </c>
      <c r="I16" t="s">
        <v>32</v>
      </c>
      <c r="J16" s="1">
        <v>2.2499999999999999E-2</v>
      </c>
    </row>
    <row r="17" spans="2:10" x14ac:dyDescent="0.3">
      <c r="B17">
        <v>14</v>
      </c>
      <c r="C17">
        <v>523</v>
      </c>
      <c r="D17" t="s">
        <v>33</v>
      </c>
      <c r="E17">
        <v>1991</v>
      </c>
      <c r="G17" t="s">
        <v>11</v>
      </c>
      <c r="H17" t="s">
        <v>12</v>
      </c>
      <c r="I17" t="s">
        <v>34</v>
      </c>
      <c r="J17" s="1">
        <v>2.269675925925926E-2</v>
      </c>
    </row>
    <row r="18" spans="2:10" x14ac:dyDescent="0.3">
      <c r="B18">
        <v>15</v>
      </c>
      <c r="C18">
        <v>481</v>
      </c>
      <c r="D18" t="s">
        <v>35</v>
      </c>
      <c r="E18">
        <v>1994</v>
      </c>
      <c r="G18" t="s">
        <v>11</v>
      </c>
      <c r="H18" t="s">
        <v>12</v>
      </c>
      <c r="I18" t="s">
        <v>36</v>
      </c>
      <c r="J18" s="1">
        <v>2.2719907407407407E-2</v>
      </c>
    </row>
    <row r="19" spans="2:10" x14ac:dyDescent="0.3">
      <c r="B19">
        <v>16</v>
      </c>
      <c r="C19">
        <v>502</v>
      </c>
      <c r="D19" t="s">
        <v>37</v>
      </c>
      <c r="E19">
        <v>1999</v>
      </c>
      <c r="G19" t="s">
        <v>11</v>
      </c>
      <c r="H19" t="s">
        <v>12</v>
      </c>
      <c r="I19" t="s">
        <v>38</v>
      </c>
      <c r="J19" s="1">
        <v>2.2731481481481481E-2</v>
      </c>
    </row>
    <row r="20" spans="2:10" x14ac:dyDescent="0.3">
      <c r="B20">
        <v>17</v>
      </c>
      <c r="C20">
        <v>431</v>
      </c>
      <c r="D20" t="s">
        <v>39</v>
      </c>
      <c r="E20">
        <v>1987</v>
      </c>
      <c r="G20" t="s">
        <v>11</v>
      </c>
      <c r="H20" t="s">
        <v>12</v>
      </c>
      <c r="I20" t="s">
        <v>13</v>
      </c>
      <c r="J20" s="1">
        <v>2.2754629629629628E-2</v>
      </c>
    </row>
    <row r="21" spans="2:10" x14ac:dyDescent="0.3">
      <c r="B21">
        <v>18</v>
      </c>
      <c r="C21">
        <v>602</v>
      </c>
      <c r="D21" t="s">
        <v>40</v>
      </c>
      <c r="E21">
        <v>2000</v>
      </c>
      <c r="G21" t="s">
        <v>11</v>
      </c>
      <c r="H21" t="s">
        <v>12</v>
      </c>
      <c r="I21" t="s">
        <v>41</v>
      </c>
      <c r="J21" s="1">
        <v>2.2766203703703705E-2</v>
      </c>
    </row>
    <row r="22" spans="2:10" x14ac:dyDescent="0.3">
      <c r="B22">
        <v>19</v>
      </c>
      <c r="C22">
        <v>422</v>
      </c>
      <c r="D22" t="s">
        <v>42</v>
      </c>
      <c r="E22">
        <v>1975</v>
      </c>
      <c r="G22" t="s">
        <v>11</v>
      </c>
      <c r="H22" t="s">
        <v>12</v>
      </c>
      <c r="J22" s="1">
        <v>2.2812499999999999E-2</v>
      </c>
    </row>
    <row r="23" spans="2:10" x14ac:dyDescent="0.3">
      <c r="B23">
        <v>20</v>
      </c>
      <c r="C23">
        <v>503</v>
      </c>
      <c r="D23" t="s">
        <v>43</v>
      </c>
      <c r="E23">
        <v>1996</v>
      </c>
      <c r="G23" t="s">
        <v>11</v>
      </c>
      <c r="H23" t="s">
        <v>12</v>
      </c>
      <c r="I23" t="s">
        <v>38</v>
      </c>
      <c r="J23" s="1">
        <v>2.2812499999999999E-2</v>
      </c>
    </row>
    <row r="24" spans="2:10" x14ac:dyDescent="0.3">
      <c r="B24">
        <v>21</v>
      </c>
      <c r="C24">
        <v>558</v>
      </c>
      <c r="D24" t="s">
        <v>44</v>
      </c>
      <c r="E24">
        <v>1998</v>
      </c>
      <c r="G24" t="s">
        <v>11</v>
      </c>
      <c r="H24" t="s">
        <v>12</v>
      </c>
      <c r="I24" t="s">
        <v>45</v>
      </c>
      <c r="J24" s="1">
        <v>2.2835648148148147E-2</v>
      </c>
    </row>
    <row r="25" spans="2:10" x14ac:dyDescent="0.3">
      <c r="B25">
        <v>22</v>
      </c>
      <c r="C25">
        <v>621</v>
      </c>
      <c r="D25" t="s">
        <v>46</v>
      </c>
      <c r="E25">
        <v>2000</v>
      </c>
      <c r="G25" t="s">
        <v>11</v>
      </c>
      <c r="H25" t="s">
        <v>12</v>
      </c>
      <c r="I25" t="s">
        <v>47</v>
      </c>
      <c r="J25" s="1">
        <v>2.2835648148148147E-2</v>
      </c>
    </row>
    <row r="26" spans="2:10" x14ac:dyDescent="0.3">
      <c r="B26">
        <v>23</v>
      </c>
      <c r="C26">
        <v>530</v>
      </c>
      <c r="D26" t="s">
        <v>48</v>
      </c>
      <c r="E26">
        <v>2000</v>
      </c>
      <c r="G26" t="s">
        <v>11</v>
      </c>
      <c r="H26" t="s">
        <v>12</v>
      </c>
      <c r="I26" t="s">
        <v>49</v>
      </c>
      <c r="J26" s="1">
        <v>2.2974537037037036E-2</v>
      </c>
    </row>
    <row r="27" spans="2:10" x14ac:dyDescent="0.3">
      <c r="B27">
        <v>24</v>
      </c>
      <c r="C27">
        <v>535</v>
      </c>
      <c r="D27" t="s">
        <v>50</v>
      </c>
      <c r="E27">
        <v>1980</v>
      </c>
      <c r="G27" t="s">
        <v>11</v>
      </c>
      <c r="H27" t="s">
        <v>12</v>
      </c>
      <c r="I27" t="s">
        <v>32</v>
      </c>
      <c r="J27" s="1">
        <v>2.3078703703703702E-2</v>
      </c>
    </row>
    <row r="28" spans="2:10" x14ac:dyDescent="0.3">
      <c r="B28">
        <v>25</v>
      </c>
      <c r="C28">
        <v>556</v>
      </c>
      <c r="D28" t="s">
        <v>51</v>
      </c>
      <c r="E28">
        <v>2008</v>
      </c>
      <c r="G28" t="s">
        <v>11</v>
      </c>
      <c r="H28" t="s">
        <v>12</v>
      </c>
      <c r="I28" t="s">
        <v>45</v>
      </c>
      <c r="J28" s="1">
        <v>2.3148148148148147E-2</v>
      </c>
    </row>
    <row r="29" spans="2:10" x14ac:dyDescent="0.3">
      <c r="B29">
        <v>26</v>
      </c>
      <c r="C29">
        <v>548</v>
      </c>
      <c r="D29" t="s">
        <v>52</v>
      </c>
      <c r="E29">
        <v>1999</v>
      </c>
      <c r="G29" t="s">
        <v>11</v>
      </c>
      <c r="H29" t="s">
        <v>12</v>
      </c>
      <c r="I29" t="s">
        <v>53</v>
      </c>
      <c r="J29" s="1">
        <v>2.3171296296296297E-2</v>
      </c>
    </row>
    <row r="30" spans="2:10" x14ac:dyDescent="0.3">
      <c r="B30">
        <v>27</v>
      </c>
      <c r="C30">
        <v>537</v>
      </c>
      <c r="D30" t="s">
        <v>54</v>
      </c>
      <c r="E30">
        <v>1991</v>
      </c>
      <c r="G30" t="s">
        <v>11</v>
      </c>
      <c r="H30" t="s">
        <v>12</v>
      </c>
      <c r="I30" t="s">
        <v>32</v>
      </c>
      <c r="J30" s="1">
        <v>2.3171296296296297E-2</v>
      </c>
    </row>
    <row r="31" spans="2:10" x14ac:dyDescent="0.3">
      <c r="B31">
        <v>28</v>
      </c>
      <c r="C31">
        <v>578</v>
      </c>
      <c r="D31" t="s">
        <v>55</v>
      </c>
      <c r="E31">
        <v>1995</v>
      </c>
      <c r="G31" t="s">
        <v>11</v>
      </c>
      <c r="H31" t="s">
        <v>12</v>
      </c>
      <c r="I31" t="s">
        <v>56</v>
      </c>
      <c r="J31" s="1">
        <v>2.3182870370370371E-2</v>
      </c>
    </row>
    <row r="32" spans="2:10" x14ac:dyDescent="0.3">
      <c r="B32">
        <v>29</v>
      </c>
      <c r="C32">
        <v>504</v>
      </c>
      <c r="D32" t="s">
        <v>57</v>
      </c>
      <c r="E32">
        <v>1987</v>
      </c>
      <c r="G32" t="s">
        <v>11</v>
      </c>
      <c r="H32" t="s">
        <v>12</v>
      </c>
      <c r="I32" t="s">
        <v>38</v>
      </c>
      <c r="J32" s="1">
        <v>2.3333333333333334E-2</v>
      </c>
    </row>
    <row r="33" spans="2:10" x14ac:dyDescent="0.3">
      <c r="B33">
        <v>30</v>
      </c>
      <c r="C33">
        <v>573</v>
      </c>
      <c r="D33" t="s">
        <v>58</v>
      </c>
      <c r="E33">
        <v>2002</v>
      </c>
      <c r="G33" t="s">
        <v>11</v>
      </c>
      <c r="H33" t="s">
        <v>12</v>
      </c>
      <c r="I33" t="s">
        <v>15</v>
      </c>
      <c r="J33" s="1">
        <v>2.3356481481481482E-2</v>
      </c>
    </row>
    <row r="34" spans="2:10" x14ac:dyDescent="0.3">
      <c r="B34">
        <v>31</v>
      </c>
      <c r="C34">
        <v>473</v>
      </c>
      <c r="D34" t="s">
        <v>59</v>
      </c>
      <c r="E34">
        <v>1984</v>
      </c>
      <c r="G34" t="s">
        <v>11</v>
      </c>
      <c r="H34" t="s">
        <v>12</v>
      </c>
      <c r="I34" t="s">
        <v>60</v>
      </c>
      <c r="J34" s="1">
        <v>2.3414351851851853E-2</v>
      </c>
    </row>
    <row r="35" spans="2:10" x14ac:dyDescent="0.3">
      <c r="B35">
        <v>32</v>
      </c>
      <c r="C35">
        <v>457</v>
      </c>
      <c r="D35" t="s">
        <v>61</v>
      </c>
      <c r="E35">
        <v>2006</v>
      </c>
      <c r="G35" t="s">
        <v>11</v>
      </c>
      <c r="H35" t="s">
        <v>12</v>
      </c>
      <c r="I35" t="s">
        <v>62</v>
      </c>
      <c r="J35" s="1">
        <v>2.3414351851851853E-2</v>
      </c>
    </row>
    <row r="36" spans="2:10" x14ac:dyDescent="0.3">
      <c r="B36">
        <v>33</v>
      </c>
      <c r="C36">
        <v>613</v>
      </c>
      <c r="D36" t="s">
        <v>63</v>
      </c>
      <c r="E36">
        <v>1991</v>
      </c>
      <c r="G36" t="s">
        <v>11</v>
      </c>
      <c r="H36" t="s">
        <v>12</v>
      </c>
      <c r="I36" t="s">
        <v>47</v>
      </c>
      <c r="J36" s="1">
        <v>2.34375E-2</v>
      </c>
    </row>
    <row r="37" spans="2:10" x14ac:dyDescent="0.3">
      <c r="B37">
        <v>34</v>
      </c>
      <c r="C37">
        <v>524</v>
      </c>
      <c r="D37" t="s">
        <v>64</v>
      </c>
      <c r="E37">
        <v>1987</v>
      </c>
      <c r="G37" t="s">
        <v>11</v>
      </c>
      <c r="H37" t="s">
        <v>12</v>
      </c>
      <c r="I37" t="s">
        <v>65</v>
      </c>
      <c r="J37" s="1">
        <v>2.3449074074074074E-2</v>
      </c>
    </row>
    <row r="38" spans="2:10" x14ac:dyDescent="0.3">
      <c r="B38">
        <v>35</v>
      </c>
      <c r="C38">
        <v>551</v>
      </c>
      <c r="D38" t="s">
        <v>66</v>
      </c>
      <c r="E38">
        <v>1996</v>
      </c>
      <c r="G38" t="s">
        <v>11</v>
      </c>
      <c r="H38" t="s">
        <v>12</v>
      </c>
      <c r="I38" t="s">
        <v>13</v>
      </c>
      <c r="J38" s="1">
        <v>2.3541666666666666E-2</v>
      </c>
    </row>
    <row r="39" spans="2:10" x14ac:dyDescent="0.3">
      <c r="B39">
        <v>36</v>
      </c>
      <c r="C39">
        <v>560</v>
      </c>
      <c r="D39" t="s">
        <v>67</v>
      </c>
      <c r="E39">
        <v>2003</v>
      </c>
      <c r="G39" t="s">
        <v>11</v>
      </c>
      <c r="H39" t="s">
        <v>12</v>
      </c>
      <c r="I39" t="s">
        <v>68</v>
      </c>
      <c r="J39" s="1">
        <v>2.3553240740740739E-2</v>
      </c>
    </row>
    <row r="40" spans="2:10" x14ac:dyDescent="0.3">
      <c r="B40">
        <v>37</v>
      </c>
      <c r="C40">
        <v>539</v>
      </c>
      <c r="D40" t="s">
        <v>69</v>
      </c>
      <c r="E40">
        <v>2005</v>
      </c>
      <c r="G40" t="s">
        <v>11</v>
      </c>
      <c r="H40" t="s">
        <v>12</v>
      </c>
      <c r="I40" t="s">
        <v>32</v>
      </c>
      <c r="J40" s="1">
        <v>2.3564814814814816E-2</v>
      </c>
    </row>
    <row r="41" spans="2:10" x14ac:dyDescent="0.3">
      <c r="B41">
        <v>38</v>
      </c>
      <c r="C41">
        <v>570</v>
      </c>
      <c r="D41" t="s">
        <v>70</v>
      </c>
      <c r="E41">
        <v>1998</v>
      </c>
      <c r="G41" t="s">
        <v>11</v>
      </c>
      <c r="H41" t="s">
        <v>12</v>
      </c>
      <c r="I41" t="s">
        <v>15</v>
      </c>
      <c r="J41" s="1">
        <v>2.3587962962962963E-2</v>
      </c>
    </row>
    <row r="42" spans="2:10" x14ac:dyDescent="0.3">
      <c r="B42">
        <v>39</v>
      </c>
      <c r="C42">
        <v>404</v>
      </c>
      <c r="D42" t="s">
        <v>71</v>
      </c>
      <c r="E42">
        <v>1977</v>
      </c>
      <c r="G42" t="s">
        <v>11</v>
      </c>
      <c r="H42" t="s">
        <v>12</v>
      </c>
      <c r="I42" t="s">
        <v>72</v>
      </c>
      <c r="J42" s="1">
        <v>2.3587962962962963E-2</v>
      </c>
    </row>
    <row r="43" spans="2:10" x14ac:dyDescent="0.3">
      <c r="B43">
        <v>40</v>
      </c>
      <c r="C43">
        <v>620</v>
      </c>
      <c r="D43" t="s">
        <v>73</v>
      </c>
      <c r="E43">
        <v>1991</v>
      </c>
      <c r="G43" t="s">
        <v>11</v>
      </c>
      <c r="H43" t="s">
        <v>12</v>
      </c>
      <c r="I43" t="s">
        <v>74</v>
      </c>
      <c r="J43" s="1">
        <v>2.3657407407407408E-2</v>
      </c>
    </row>
    <row r="44" spans="2:10" x14ac:dyDescent="0.3">
      <c r="B44">
        <v>41</v>
      </c>
      <c r="C44">
        <v>417</v>
      </c>
      <c r="D44" t="s">
        <v>75</v>
      </c>
      <c r="E44">
        <v>1996</v>
      </c>
      <c r="G44" t="s">
        <v>11</v>
      </c>
      <c r="H44" t="s">
        <v>12</v>
      </c>
      <c r="I44" t="s">
        <v>76</v>
      </c>
      <c r="J44" s="1">
        <v>2.375E-2</v>
      </c>
    </row>
    <row r="45" spans="2:10" x14ac:dyDescent="0.3">
      <c r="B45">
        <v>42</v>
      </c>
      <c r="C45">
        <v>629</v>
      </c>
      <c r="D45" t="s">
        <v>77</v>
      </c>
      <c r="E45">
        <v>1993</v>
      </c>
      <c r="G45" t="s">
        <v>11</v>
      </c>
      <c r="H45" t="s">
        <v>12</v>
      </c>
      <c r="I45" t="s">
        <v>78</v>
      </c>
      <c r="J45" s="1">
        <v>2.3784722222222221E-2</v>
      </c>
    </row>
    <row r="46" spans="2:10" x14ac:dyDescent="0.3">
      <c r="B46">
        <v>43</v>
      </c>
      <c r="C46">
        <v>410</v>
      </c>
      <c r="D46" t="s">
        <v>79</v>
      </c>
      <c r="E46">
        <v>1983</v>
      </c>
      <c r="G46" t="s">
        <v>11</v>
      </c>
      <c r="H46" t="s">
        <v>12</v>
      </c>
      <c r="J46" s="1">
        <v>2.3807870370370372E-2</v>
      </c>
    </row>
    <row r="47" spans="2:10" x14ac:dyDescent="0.3">
      <c r="B47">
        <v>44</v>
      </c>
      <c r="C47">
        <v>611</v>
      </c>
      <c r="D47" t="s">
        <v>80</v>
      </c>
      <c r="E47">
        <v>1995</v>
      </c>
      <c r="G47" t="s">
        <v>11</v>
      </c>
      <c r="H47" t="s">
        <v>12</v>
      </c>
      <c r="I47" t="s">
        <v>81</v>
      </c>
      <c r="J47" s="1">
        <v>2.3842592592592592E-2</v>
      </c>
    </row>
    <row r="48" spans="2:10" x14ac:dyDescent="0.3">
      <c r="B48">
        <v>45</v>
      </c>
      <c r="C48">
        <v>480</v>
      </c>
      <c r="D48" t="s">
        <v>82</v>
      </c>
      <c r="E48">
        <v>1979</v>
      </c>
      <c r="G48" t="s">
        <v>11</v>
      </c>
      <c r="H48" t="s">
        <v>12</v>
      </c>
      <c r="I48" t="s">
        <v>83</v>
      </c>
      <c r="J48" s="1">
        <v>2.3854166666666666E-2</v>
      </c>
    </row>
    <row r="49" spans="2:10" x14ac:dyDescent="0.3">
      <c r="B49">
        <v>46</v>
      </c>
      <c r="C49">
        <v>635</v>
      </c>
      <c r="D49" t="s">
        <v>84</v>
      </c>
      <c r="E49">
        <v>1973</v>
      </c>
      <c r="G49" t="s">
        <v>11</v>
      </c>
      <c r="H49" t="s">
        <v>12</v>
      </c>
      <c r="I49" t="s">
        <v>85</v>
      </c>
      <c r="J49" s="1">
        <v>2.4155092592592593E-2</v>
      </c>
    </row>
    <row r="50" spans="2:10" x14ac:dyDescent="0.3">
      <c r="B50">
        <v>47</v>
      </c>
      <c r="C50">
        <v>614</v>
      </c>
      <c r="D50" t="s">
        <v>86</v>
      </c>
      <c r="E50">
        <v>2006</v>
      </c>
      <c r="G50" t="s">
        <v>11</v>
      </c>
      <c r="H50" t="s">
        <v>12</v>
      </c>
      <c r="I50" t="s">
        <v>87</v>
      </c>
      <c r="J50" s="1">
        <v>2.4293981481481482E-2</v>
      </c>
    </row>
    <row r="51" spans="2:10" x14ac:dyDescent="0.3">
      <c r="B51">
        <v>48</v>
      </c>
      <c r="C51">
        <v>576</v>
      </c>
      <c r="D51" t="s">
        <v>88</v>
      </c>
      <c r="E51">
        <v>2006</v>
      </c>
      <c r="G51" t="s">
        <v>11</v>
      </c>
      <c r="H51" t="s">
        <v>12</v>
      </c>
      <c r="I51" t="s">
        <v>89</v>
      </c>
      <c r="J51" s="1">
        <v>2.4375000000000001E-2</v>
      </c>
    </row>
    <row r="52" spans="2:10" x14ac:dyDescent="0.3">
      <c r="B52">
        <v>49</v>
      </c>
      <c r="C52">
        <v>553</v>
      </c>
      <c r="D52" t="s">
        <v>90</v>
      </c>
      <c r="E52">
        <v>1983</v>
      </c>
      <c r="G52" t="s">
        <v>11</v>
      </c>
      <c r="H52" t="s">
        <v>12</v>
      </c>
      <c r="I52" t="s">
        <v>91</v>
      </c>
      <c r="J52" s="1">
        <v>2.4432870370370369E-2</v>
      </c>
    </row>
    <row r="53" spans="2:10" x14ac:dyDescent="0.3">
      <c r="B53">
        <v>50</v>
      </c>
      <c r="C53">
        <v>529</v>
      </c>
      <c r="D53" t="s">
        <v>92</v>
      </c>
      <c r="E53">
        <v>1995</v>
      </c>
      <c r="G53" t="s">
        <v>11</v>
      </c>
      <c r="H53" t="s">
        <v>12</v>
      </c>
      <c r="I53" t="s">
        <v>93</v>
      </c>
      <c r="J53" s="1">
        <v>2.4456018518518519E-2</v>
      </c>
    </row>
    <row r="54" spans="2:10" x14ac:dyDescent="0.3">
      <c r="B54">
        <v>51</v>
      </c>
      <c r="C54">
        <v>574</v>
      </c>
      <c r="D54" t="s">
        <v>94</v>
      </c>
      <c r="E54">
        <v>1994</v>
      </c>
      <c r="G54" t="s">
        <v>11</v>
      </c>
      <c r="H54" t="s">
        <v>12</v>
      </c>
      <c r="I54" t="s">
        <v>13</v>
      </c>
      <c r="J54" s="1">
        <v>2.4606481481481483E-2</v>
      </c>
    </row>
    <row r="55" spans="2:10" x14ac:dyDescent="0.3">
      <c r="B55">
        <v>52</v>
      </c>
      <c r="C55">
        <v>870</v>
      </c>
      <c r="D55" t="s">
        <v>95</v>
      </c>
      <c r="E55">
        <v>2008</v>
      </c>
      <c r="G55" t="s">
        <v>11</v>
      </c>
      <c r="H55" t="s">
        <v>12</v>
      </c>
      <c r="I55" t="s">
        <v>96</v>
      </c>
      <c r="J55" s="1">
        <v>2.4652777777777777E-2</v>
      </c>
    </row>
    <row r="56" spans="2:10" x14ac:dyDescent="0.3">
      <c r="B56">
        <v>53</v>
      </c>
      <c r="C56">
        <v>484</v>
      </c>
      <c r="D56" t="s">
        <v>97</v>
      </c>
      <c r="E56">
        <v>1983</v>
      </c>
      <c r="G56" t="s">
        <v>11</v>
      </c>
      <c r="H56" t="s">
        <v>12</v>
      </c>
      <c r="J56" s="1">
        <v>2.4872685185185185E-2</v>
      </c>
    </row>
    <row r="57" spans="2:10" x14ac:dyDescent="0.3">
      <c r="B57">
        <v>54</v>
      </c>
      <c r="C57">
        <v>435</v>
      </c>
      <c r="D57" t="s">
        <v>98</v>
      </c>
      <c r="E57">
        <v>1968</v>
      </c>
      <c r="G57" t="s">
        <v>11</v>
      </c>
      <c r="H57" t="s">
        <v>12</v>
      </c>
      <c r="I57" t="s">
        <v>99</v>
      </c>
      <c r="J57" s="1">
        <v>2.4918981481481483E-2</v>
      </c>
    </row>
    <row r="58" spans="2:10" x14ac:dyDescent="0.3">
      <c r="B58">
        <v>55</v>
      </c>
      <c r="C58">
        <v>492</v>
      </c>
      <c r="D58" t="s">
        <v>100</v>
      </c>
      <c r="E58">
        <v>1982</v>
      </c>
      <c r="G58" t="s">
        <v>11</v>
      </c>
      <c r="H58" t="s">
        <v>12</v>
      </c>
      <c r="I58" t="s">
        <v>101</v>
      </c>
      <c r="J58" s="1">
        <v>2.4965277777777777E-2</v>
      </c>
    </row>
    <row r="59" spans="2:10" x14ac:dyDescent="0.3">
      <c r="B59">
        <v>56</v>
      </c>
      <c r="C59">
        <v>471</v>
      </c>
      <c r="D59" t="s">
        <v>102</v>
      </c>
      <c r="E59">
        <v>1975</v>
      </c>
      <c r="G59" t="s">
        <v>11</v>
      </c>
      <c r="H59" t="s">
        <v>12</v>
      </c>
      <c r="I59" t="s">
        <v>103</v>
      </c>
      <c r="J59" s="1">
        <v>2.5092592592592593E-2</v>
      </c>
    </row>
    <row r="60" spans="2:10" x14ac:dyDescent="0.3">
      <c r="B60">
        <v>57</v>
      </c>
      <c r="C60">
        <v>442</v>
      </c>
      <c r="D60" t="s">
        <v>104</v>
      </c>
      <c r="E60">
        <v>1982</v>
      </c>
      <c r="G60" t="s">
        <v>11</v>
      </c>
      <c r="H60" t="s">
        <v>12</v>
      </c>
      <c r="I60" t="s">
        <v>105</v>
      </c>
      <c r="J60" s="1">
        <v>2.5104166666666667E-2</v>
      </c>
    </row>
    <row r="61" spans="2:10" x14ac:dyDescent="0.3">
      <c r="B61">
        <v>58</v>
      </c>
      <c r="C61">
        <v>584</v>
      </c>
      <c r="D61" t="s">
        <v>106</v>
      </c>
      <c r="E61">
        <v>1976</v>
      </c>
      <c r="G61" t="s">
        <v>11</v>
      </c>
      <c r="H61" t="s">
        <v>12</v>
      </c>
      <c r="J61" s="1">
        <v>2.5150462962962961E-2</v>
      </c>
    </row>
    <row r="62" spans="2:10" x14ac:dyDescent="0.3">
      <c r="B62">
        <v>59</v>
      </c>
      <c r="C62">
        <v>564</v>
      </c>
      <c r="D62" t="s">
        <v>107</v>
      </c>
      <c r="E62">
        <v>1991</v>
      </c>
      <c r="G62" t="s">
        <v>11</v>
      </c>
      <c r="H62" t="s">
        <v>12</v>
      </c>
      <c r="I62" t="s">
        <v>108</v>
      </c>
      <c r="J62" s="1">
        <v>2.5173611111111112E-2</v>
      </c>
    </row>
    <row r="63" spans="2:10" x14ac:dyDescent="0.3">
      <c r="B63">
        <v>60</v>
      </c>
      <c r="C63">
        <v>411</v>
      </c>
      <c r="D63" t="s">
        <v>109</v>
      </c>
      <c r="E63">
        <v>1974</v>
      </c>
      <c r="G63" t="s">
        <v>11</v>
      </c>
      <c r="H63" t="s">
        <v>12</v>
      </c>
      <c r="I63" t="s">
        <v>110</v>
      </c>
      <c r="J63" s="1">
        <v>2.5196759259259259E-2</v>
      </c>
    </row>
    <row r="64" spans="2:10" x14ac:dyDescent="0.3">
      <c r="B64">
        <v>61</v>
      </c>
      <c r="C64">
        <v>454</v>
      </c>
      <c r="D64" t="s">
        <v>111</v>
      </c>
      <c r="E64">
        <v>2001</v>
      </c>
      <c r="G64" t="s">
        <v>11</v>
      </c>
      <c r="H64" t="s">
        <v>12</v>
      </c>
      <c r="I64" t="s">
        <v>112</v>
      </c>
      <c r="J64" s="1">
        <v>2.5289351851851851E-2</v>
      </c>
    </row>
    <row r="65" spans="2:10" x14ac:dyDescent="0.3">
      <c r="B65">
        <v>62</v>
      </c>
      <c r="C65">
        <v>579</v>
      </c>
      <c r="D65" t="s">
        <v>113</v>
      </c>
      <c r="E65">
        <v>2000</v>
      </c>
      <c r="G65" t="s">
        <v>11</v>
      </c>
      <c r="H65" t="s">
        <v>12</v>
      </c>
      <c r="I65" t="s">
        <v>49</v>
      </c>
      <c r="J65" s="1">
        <v>2.5312500000000002E-2</v>
      </c>
    </row>
    <row r="66" spans="2:10" x14ac:dyDescent="0.3">
      <c r="B66">
        <v>63</v>
      </c>
      <c r="C66">
        <v>563</v>
      </c>
      <c r="D66" t="s">
        <v>114</v>
      </c>
      <c r="E66">
        <v>1997</v>
      </c>
      <c r="G66" t="s">
        <v>11</v>
      </c>
      <c r="H66" t="s">
        <v>12</v>
      </c>
      <c r="I66" t="s">
        <v>115</v>
      </c>
      <c r="J66" s="1">
        <v>2.5358796296296296E-2</v>
      </c>
    </row>
    <row r="67" spans="2:10" x14ac:dyDescent="0.3">
      <c r="B67">
        <v>64</v>
      </c>
      <c r="C67">
        <v>599</v>
      </c>
      <c r="D67" t="s">
        <v>116</v>
      </c>
      <c r="E67">
        <v>1974</v>
      </c>
      <c r="G67" t="s">
        <v>11</v>
      </c>
      <c r="H67" t="s">
        <v>12</v>
      </c>
      <c r="J67" s="1">
        <v>2.5381944444444443E-2</v>
      </c>
    </row>
    <row r="68" spans="2:10" x14ac:dyDescent="0.3">
      <c r="B68">
        <v>65</v>
      </c>
      <c r="C68">
        <v>419</v>
      </c>
      <c r="D68" t="s">
        <v>117</v>
      </c>
      <c r="E68">
        <v>1988</v>
      </c>
      <c r="G68" t="s">
        <v>11</v>
      </c>
      <c r="H68" t="s">
        <v>12</v>
      </c>
      <c r="J68" s="1">
        <v>2.539351851851852E-2</v>
      </c>
    </row>
    <row r="69" spans="2:10" x14ac:dyDescent="0.3">
      <c r="B69">
        <v>66</v>
      </c>
      <c r="C69">
        <v>619</v>
      </c>
      <c r="D69" t="s">
        <v>118</v>
      </c>
      <c r="E69">
        <v>1997</v>
      </c>
      <c r="G69" t="s">
        <v>11</v>
      </c>
      <c r="H69" t="s">
        <v>12</v>
      </c>
      <c r="J69" s="1">
        <v>2.554398148148148E-2</v>
      </c>
    </row>
    <row r="70" spans="2:10" x14ac:dyDescent="0.3">
      <c r="B70">
        <v>67</v>
      </c>
      <c r="C70">
        <v>526</v>
      </c>
      <c r="D70" t="s">
        <v>119</v>
      </c>
      <c r="E70">
        <v>1998</v>
      </c>
      <c r="G70" t="s">
        <v>11</v>
      </c>
      <c r="H70" t="s">
        <v>12</v>
      </c>
      <c r="I70" t="s">
        <v>120</v>
      </c>
      <c r="J70" s="1">
        <v>2.5706018518518517E-2</v>
      </c>
    </row>
    <row r="71" spans="2:10" x14ac:dyDescent="0.3">
      <c r="B71">
        <v>68</v>
      </c>
      <c r="C71">
        <v>598</v>
      </c>
      <c r="D71" t="s">
        <v>121</v>
      </c>
      <c r="E71">
        <v>1969</v>
      </c>
      <c r="G71" t="s">
        <v>11</v>
      </c>
      <c r="H71" t="s">
        <v>12</v>
      </c>
      <c r="I71" t="s">
        <v>122</v>
      </c>
      <c r="J71" s="1">
        <v>2.5740740740740741E-2</v>
      </c>
    </row>
    <row r="72" spans="2:10" x14ac:dyDescent="0.3">
      <c r="B72">
        <v>69</v>
      </c>
      <c r="C72">
        <v>409</v>
      </c>
      <c r="D72" t="s">
        <v>123</v>
      </c>
      <c r="E72">
        <v>1971</v>
      </c>
      <c r="G72" t="s">
        <v>11</v>
      </c>
      <c r="H72" t="s">
        <v>12</v>
      </c>
      <c r="I72" t="s">
        <v>110</v>
      </c>
      <c r="J72" s="1">
        <v>2.5763888888888888E-2</v>
      </c>
    </row>
    <row r="73" spans="2:10" x14ac:dyDescent="0.3">
      <c r="B73">
        <v>70</v>
      </c>
      <c r="C73">
        <v>413</v>
      </c>
      <c r="D73" t="s">
        <v>124</v>
      </c>
      <c r="E73">
        <v>1965</v>
      </c>
      <c r="G73" t="s">
        <v>11</v>
      </c>
      <c r="H73" t="s">
        <v>12</v>
      </c>
      <c r="I73" t="s">
        <v>76</v>
      </c>
      <c r="J73" s="1">
        <v>2.5775462962962962E-2</v>
      </c>
    </row>
    <row r="74" spans="2:10" x14ac:dyDescent="0.3">
      <c r="B74">
        <v>71</v>
      </c>
      <c r="C74">
        <v>517</v>
      </c>
      <c r="D74" t="s">
        <v>125</v>
      </c>
      <c r="E74">
        <v>2004</v>
      </c>
      <c r="G74" t="s">
        <v>11</v>
      </c>
      <c r="H74" t="s">
        <v>12</v>
      </c>
      <c r="I74" t="s">
        <v>126</v>
      </c>
      <c r="J74" s="1">
        <v>2.5844907407407407E-2</v>
      </c>
    </row>
    <row r="75" spans="2:10" x14ac:dyDescent="0.3">
      <c r="B75">
        <v>72</v>
      </c>
      <c r="C75">
        <v>627</v>
      </c>
      <c r="D75" t="s">
        <v>127</v>
      </c>
      <c r="E75">
        <v>1974</v>
      </c>
      <c r="G75" t="s">
        <v>11</v>
      </c>
      <c r="H75" t="s">
        <v>12</v>
      </c>
      <c r="J75" s="1">
        <v>2.6041666666666668E-2</v>
      </c>
    </row>
    <row r="76" spans="2:10" x14ac:dyDescent="0.3">
      <c r="B76">
        <v>73</v>
      </c>
      <c r="C76">
        <v>462</v>
      </c>
      <c r="D76" t="s">
        <v>128</v>
      </c>
      <c r="E76">
        <v>1972</v>
      </c>
      <c r="G76" t="s">
        <v>11</v>
      </c>
      <c r="H76" t="s">
        <v>12</v>
      </c>
      <c r="I76" t="s">
        <v>30</v>
      </c>
      <c r="J76" s="1">
        <v>2.6122685185185186E-2</v>
      </c>
    </row>
    <row r="77" spans="2:10" x14ac:dyDescent="0.3">
      <c r="B77">
        <v>74</v>
      </c>
      <c r="C77">
        <v>430</v>
      </c>
      <c r="D77" t="s">
        <v>129</v>
      </c>
      <c r="E77">
        <v>1972</v>
      </c>
      <c r="G77" t="s">
        <v>11</v>
      </c>
      <c r="H77" t="s">
        <v>12</v>
      </c>
      <c r="I77" t="s">
        <v>130</v>
      </c>
      <c r="J77" s="1">
        <v>2.6215277777777778E-2</v>
      </c>
    </row>
    <row r="78" spans="2:10" x14ac:dyDescent="0.3">
      <c r="B78">
        <v>75</v>
      </c>
      <c r="C78">
        <v>402</v>
      </c>
      <c r="D78" t="s">
        <v>131</v>
      </c>
      <c r="E78">
        <v>1979</v>
      </c>
      <c r="G78" t="s">
        <v>11</v>
      </c>
      <c r="H78" t="s">
        <v>12</v>
      </c>
      <c r="I78" t="s">
        <v>132</v>
      </c>
      <c r="J78" s="1">
        <v>2.6238425925925925E-2</v>
      </c>
    </row>
    <row r="79" spans="2:10" x14ac:dyDescent="0.3">
      <c r="B79">
        <v>76</v>
      </c>
      <c r="C79">
        <v>458</v>
      </c>
      <c r="D79" t="s">
        <v>133</v>
      </c>
      <c r="E79">
        <v>2005</v>
      </c>
      <c r="G79" t="s">
        <v>11</v>
      </c>
      <c r="H79" t="s">
        <v>12</v>
      </c>
      <c r="I79" t="s">
        <v>62</v>
      </c>
      <c r="J79" s="1">
        <v>2.6516203703703705E-2</v>
      </c>
    </row>
    <row r="80" spans="2:10" x14ac:dyDescent="0.3">
      <c r="B80">
        <v>77</v>
      </c>
      <c r="C80">
        <v>491</v>
      </c>
      <c r="D80" t="s">
        <v>134</v>
      </c>
      <c r="E80">
        <v>1987</v>
      </c>
      <c r="G80" t="s">
        <v>11</v>
      </c>
      <c r="H80" t="s">
        <v>12</v>
      </c>
      <c r="I80" t="s">
        <v>135</v>
      </c>
      <c r="J80" s="1">
        <v>2.6620370370370371E-2</v>
      </c>
    </row>
    <row r="81" spans="2:10" x14ac:dyDescent="0.3">
      <c r="B81">
        <v>78</v>
      </c>
      <c r="C81">
        <v>482</v>
      </c>
      <c r="D81" t="s">
        <v>136</v>
      </c>
      <c r="E81">
        <v>1960</v>
      </c>
      <c r="G81" t="s">
        <v>11</v>
      </c>
      <c r="H81" t="s">
        <v>12</v>
      </c>
      <c r="I81" t="s">
        <v>30</v>
      </c>
      <c r="J81" s="1">
        <v>2.6747685185185187E-2</v>
      </c>
    </row>
    <row r="82" spans="2:10" x14ac:dyDescent="0.3">
      <c r="B82">
        <v>79</v>
      </c>
      <c r="C82">
        <v>544</v>
      </c>
      <c r="D82" t="s">
        <v>137</v>
      </c>
      <c r="E82">
        <v>1988</v>
      </c>
      <c r="G82" t="s">
        <v>11</v>
      </c>
      <c r="H82" t="s">
        <v>12</v>
      </c>
      <c r="J82" s="1">
        <v>2.6840277777777779E-2</v>
      </c>
    </row>
    <row r="83" spans="2:10" x14ac:dyDescent="0.3">
      <c r="B83">
        <v>80</v>
      </c>
      <c r="C83">
        <v>443</v>
      </c>
      <c r="D83" t="s">
        <v>138</v>
      </c>
      <c r="E83">
        <v>1969</v>
      </c>
      <c r="G83" t="s">
        <v>11</v>
      </c>
      <c r="H83" t="s">
        <v>12</v>
      </c>
      <c r="I83" t="s">
        <v>139</v>
      </c>
      <c r="J83" s="1">
        <v>2.7152777777777779E-2</v>
      </c>
    </row>
    <row r="84" spans="2:10" x14ac:dyDescent="0.3">
      <c r="B84">
        <v>81</v>
      </c>
      <c r="C84">
        <v>477</v>
      </c>
      <c r="D84" t="s">
        <v>140</v>
      </c>
      <c r="E84">
        <v>1976</v>
      </c>
      <c r="G84" t="s">
        <v>11</v>
      </c>
      <c r="H84" t="s">
        <v>12</v>
      </c>
      <c r="I84" t="s">
        <v>141</v>
      </c>
      <c r="J84" s="1">
        <v>2.7268518518518518E-2</v>
      </c>
    </row>
    <row r="85" spans="2:10" x14ac:dyDescent="0.3">
      <c r="B85">
        <v>82</v>
      </c>
      <c r="C85">
        <v>439</v>
      </c>
      <c r="D85" t="s">
        <v>142</v>
      </c>
      <c r="E85">
        <v>1957</v>
      </c>
      <c r="G85" t="s">
        <v>11</v>
      </c>
      <c r="H85" t="s">
        <v>12</v>
      </c>
      <c r="I85" t="s">
        <v>143</v>
      </c>
      <c r="J85" s="1">
        <v>2.732638888888889E-2</v>
      </c>
    </row>
    <row r="86" spans="2:10" x14ac:dyDescent="0.3">
      <c r="B86">
        <v>83</v>
      </c>
      <c r="C86">
        <v>552</v>
      </c>
      <c r="D86" t="s">
        <v>144</v>
      </c>
      <c r="E86">
        <v>1995</v>
      </c>
      <c r="G86" t="s">
        <v>11</v>
      </c>
      <c r="H86" t="s">
        <v>12</v>
      </c>
      <c r="I86" t="s">
        <v>145</v>
      </c>
      <c r="J86" s="1">
        <v>2.732638888888889E-2</v>
      </c>
    </row>
    <row r="87" spans="2:10" x14ac:dyDescent="0.3">
      <c r="B87">
        <v>84</v>
      </c>
      <c r="C87">
        <v>489</v>
      </c>
      <c r="D87" t="s">
        <v>146</v>
      </c>
      <c r="E87">
        <v>1981</v>
      </c>
      <c r="G87" t="s">
        <v>11</v>
      </c>
      <c r="H87" t="s">
        <v>12</v>
      </c>
      <c r="I87" t="s">
        <v>147</v>
      </c>
      <c r="J87" s="1">
        <v>2.7349537037037037E-2</v>
      </c>
    </row>
    <row r="88" spans="2:10" x14ac:dyDescent="0.3">
      <c r="B88">
        <v>85</v>
      </c>
      <c r="C88">
        <v>607</v>
      </c>
      <c r="D88" t="s">
        <v>148</v>
      </c>
      <c r="E88">
        <v>1971</v>
      </c>
      <c r="G88" t="s">
        <v>11</v>
      </c>
      <c r="H88" t="s">
        <v>12</v>
      </c>
      <c r="I88" t="s">
        <v>149</v>
      </c>
      <c r="J88" s="1">
        <v>2.7372685185185184E-2</v>
      </c>
    </row>
    <row r="89" spans="2:10" x14ac:dyDescent="0.3">
      <c r="B89">
        <v>86</v>
      </c>
      <c r="C89">
        <v>592</v>
      </c>
      <c r="D89" t="s">
        <v>150</v>
      </c>
      <c r="E89">
        <v>1968</v>
      </c>
      <c r="G89" t="s">
        <v>11</v>
      </c>
      <c r="H89" t="s">
        <v>12</v>
      </c>
      <c r="I89" t="s">
        <v>151</v>
      </c>
      <c r="J89" s="1">
        <v>2.7546296296296298E-2</v>
      </c>
    </row>
    <row r="90" spans="2:10" x14ac:dyDescent="0.3">
      <c r="B90">
        <v>87</v>
      </c>
      <c r="C90">
        <v>580</v>
      </c>
      <c r="D90" t="s">
        <v>152</v>
      </c>
      <c r="E90">
        <v>1986</v>
      </c>
      <c r="G90" t="s">
        <v>11</v>
      </c>
      <c r="H90" t="s">
        <v>12</v>
      </c>
      <c r="I90" t="s">
        <v>153</v>
      </c>
      <c r="J90" s="1">
        <v>2.7557870370370371E-2</v>
      </c>
    </row>
    <row r="91" spans="2:10" x14ac:dyDescent="0.3">
      <c r="B91">
        <v>88</v>
      </c>
      <c r="C91">
        <v>639</v>
      </c>
      <c r="D91" t="s">
        <v>154</v>
      </c>
      <c r="E91">
        <v>1986</v>
      </c>
      <c r="G91" t="s">
        <v>11</v>
      </c>
      <c r="H91" t="s">
        <v>12</v>
      </c>
      <c r="I91" t="s">
        <v>85</v>
      </c>
      <c r="J91" s="1">
        <v>2.7743055555555556E-2</v>
      </c>
    </row>
    <row r="92" spans="2:10" x14ac:dyDescent="0.3">
      <c r="B92">
        <v>89</v>
      </c>
      <c r="C92">
        <v>632</v>
      </c>
      <c r="D92" t="s">
        <v>155</v>
      </c>
      <c r="E92">
        <v>1969</v>
      </c>
      <c r="G92" t="s">
        <v>11</v>
      </c>
      <c r="H92" t="s">
        <v>12</v>
      </c>
      <c r="J92" s="1">
        <v>2.7754629629629629E-2</v>
      </c>
    </row>
    <row r="93" spans="2:10" x14ac:dyDescent="0.3">
      <c r="B93">
        <v>90</v>
      </c>
      <c r="C93">
        <v>467</v>
      </c>
      <c r="D93" t="s">
        <v>156</v>
      </c>
      <c r="E93">
        <v>1984</v>
      </c>
      <c r="G93" t="s">
        <v>11</v>
      </c>
      <c r="H93" t="s">
        <v>12</v>
      </c>
      <c r="J93" s="1">
        <v>2.7870370370370372E-2</v>
      </c>
    </row>
    <row r="94" spans="2:10" x14ac:dyDescent="0.3">
      <c r="B94">
        <v>91</v>
      </c>
      <c r="C94">
        <v>438</v>
      </c>
      <c r="D94" t="s">
        <v>157</v>
      </c>
      <c r="E94">
        <v>1966</v>
      </c>
      <c r="G94" t="s">
        <v>11</v>
      </c>
      <c r="H94" t="s">
        <v>12</v>
      </c>
      <c r="J94" s="1">
        <v>2.7893518518518519E-2</v>
      </c>
    </row>
    <row r="95" spans="2:10" x14ac:dyDescent="0.3">
      <c r="B95">
        <v>92</v>
      </c>
      <c r="C95">
        <v>420</v>
      </c>
      <c r="D95" t="s">
        <v>158</v>
      </c>
      <c r="E95">
        <v>1963</v>
      </c>
      <c r="G95" t="s">
        <v>11</v>
      </c>
      <c r="H95" t="s">
        <v>12</v>
      </c>
      <c r="I95" t="s">
        <v>159</v>
      </c>
      <c r="J95" s="1">
        <v>2.8067129629629629E-2</v>
      </c>
    </row>
    <row r="96" spans="2:10" x14ac:dyDescent="0.3">
      <c r="B96">
        <v>93</v>
      </c>
      <c r="C96">
        <v>533</v>
      </c>
      <c r="D96" t="s">
        <v>160</v>
      </c>
      <c r="E96">
        <v>1981</v>
      </c>
      <c r="G96" t="s">
        <v>11</v>
      </c>
      <c r="H96" t="s">
        <v>12</v>
      </c>
      <c r="J96" s="1">
        <v>2.8194444444444446E-2</v>
      </c>
    </row>
    <row r="97" spans="2:10" x14ac:dyDescent="0.3">
      <c r="B97">
        <v>94</v>
      </c>
      <c r="C97">
        <v>641</v>
      </c>
      <c r="D97" t="s">
        <v>161</v>
      </c>
      <c r="E97">
        <v>1985</v>
      </c>
      <c r="G97" t="s">
        <v>11</v>
      </c>
      <c r="H97" t="s">
        <v>12</v>
      </c>
      <c r="J97" s="1">
        <v>2.8333333333333332E-2</v>
      </c>
    </row>
    <row r="98" spans="2:10" x14ac:dyDescent="0.3">
      <c r="B98">
        <v>95</v>
      </c>
      <c r="C98">
        <v>582</v>
      </c>
      <c r="D98" t="s">
        <v>162</v>
      </c>
      <c r="E98">
        <v>1989</v>
      </c>
      <c r="G98" t="s">
        <v>11</v>
      </c>
      <c r="H98" t="s">
        <v>12</v>
      </c>
      <c r="J98" s="1">
        <v>2.8495370370370369E-2</v>
      </c>
    </row>
    <row r="99" spans="2:10" x14ac:dyDescent="0.3">
      <c r="B99">
        <v>96</v>
      </c>
      <c r="C99">
        <v>518</v>
      </c>
      <c r="D99" t="s">
        <v>163</v>
      </c>
      <c r="E99">
        <v>1955</v>
      </c>
      <c r="G99" t="s">
        <v>11</v>
      </c>
      <c r="H99" t="s">
        <v>12</v>
      </c>
      <c r="I99" t="s">
        <v>164</v>
      </c>
      <c r="J99" s="1">
        <v>2.8576388888888887E-2</v>
      </c>
    </row>
    <row r="100" spans="2:10" x14ac:dyDescent="0.3">
      <c r="B100">
        <v>97</v>
      </c>
      <c r="C100">
        <v>636</v>
      </c>
      <c r="D100" t="s">
        <v>165</v>
      </c>
      <c r="E100">
        <v>1999</v>
      </c>
      <c r="G100" t="s">
        <v>11</v>
      </c>
      <c r="H100" t="s">
        <v>12</v>
      </c>
      <c r="I100" t="s">
        <v>49</v>
      </c>
      <c r="J100" s="1">
        <v>2.8680555555555556E-2</v>
      </c>
    </row>
    <row r="101" spans="2:10" x14ac:dyDescent="0.3">
      <c r="B101">
        <v>98</v>
      </c>
      <c r="C101">
        <v>509</v>
      </c>
      <c r="D101" t="s">
        <v>166</v>
      </c>
      <c r="E101">
        <v>2004</v>
      </c>
      <c r="G101" t="s">
        <v>11</v>
      </c>
      <c r="H101" t="s">
        <v>12</v>
      </c>
      <c r="J101" s="1">
        <v>2.8819444444444446E-2</v>
      </c>
    </row>
    <row r="102" spans="2:10" x14ac:dyDescent="0.3">
      <c r="B102">
        <v>99</v>
      </c>
      <c r="C102">
        <v>650</v>
      </c>
      <c r="D102" t="s">
        <v>167</v>
      </c>
      <c r="E102">
        <v>1987</v>
      </c>
      <c r="G102" t="s">
        <v>11</v>
      </c>
      <c r="H102" t="s">
        <v>12</v>
      </c>
      <c r="J102" s="1">
        <v>2.8842592592592593E-2</v>
      </c>
    </row>
    <row r="103" spans="2:10" x14ac:dyDescent="0.3">
      <c r="B103">
        <v>100</v>
      </c>
      <c r="C103">
        <v>437</v>
      </c>
      <c r="D103" t="s">
        <v>168</v>
      </c>
      <c r="E103">
        <v>1957</v>
      </c>
      <c r="G103" t="s">
        <v>11</v>
      </c>
      <c r="H103" t="s">
        <v>12</v>
      </c>
      <c r="I103" t="s">
        <v>169</v>
      </c>
      <c r="J103" s="1">
        <v>2.8935185185185185E-2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26FD5-43FC-45D2-9462-51F82420866C}">
  <dimension ref="A1:M101"/>
  <sheetViews>
    <sheetView tabSelected="1" workbookViewId="0">
      <selection activeCell="I3" sqref="I3"/>
    </sheetView>
  </sheetViews>
  <sheetFormatPr defaultColWidth="11.5546875" defaultRowHeight="14.4" x14ac:dyDescent="0.3"/>
  <cols>
    <col min="5" max="5" width="11.5546875" customWidth="1"/>
    <col min="6" max="6" width="3.88671875" customWidth="1"/>
    <col min="8" max="9" width="13.33203125" customWidth="1"/>
    <col min="12" max="12" width="11.5546875" style="2"/>
  </cols>
  <sheetData>
    <row r="1" spans="1:13" x14ac:dyDescent="0.3">
      <c r="A1" t="s">
        <v>170</v>
      </c>
      <c r="B1" t="s">
        <v>171</v>
      </c>
      <c r="C1" t="s">
        <v>172</v>
      </c>
      <c r="D1" t="s">
        <v>173</v>
      </c>
      <c r="E1" t="s">
        <v>174</v>
      </c>
      <c r="G1" t="s">
        <v>170</v>
      </c>
      <c r="H1" t="s">
        <v>177</v>
      </c>
      <c r="I1" t="s">
        <v>178</v>
      </c>
      <c r="J1" t="s">
        <v>172</v>
      </c>
      <c r="K1" t="s">
        <v>173</v>
      </c>
      <c r="L1" s="2" t="s">
        <v>175</v>
      </c>
      <c r="M1" t="s">
        <v>176</v>
      </c>
    </row>
    <row r="2" spans="1:13" x14ac:dyDescent="0.3">
      <c r="A2">
        <v>1</v>
      </c>
      <c r="B2" t="s">
        <v>10</v>
      </c>
      <c r="C2">
        <v>1993</v>
      </c>
      <c r="D2" t="s">
        <v>13</v>
      </c>
      <c r="E2" s="1">
        <v>2.0694444444444446E-2</v>
      </c>
      <c r="F2" s="1"/>
      <c r="G2">
        <v>1</v>
      </c>
      <c r="H2" s="1" t="str">
        <f>LEFT(B2, FIND(" ", B2))</f>
        <v xml:space="preserve">Morgan </v>
      </c>
      <c r="I2" s="1" t="str">
        <f>RIGHT(B2, LEN(B2) - FIND(" ", B2))</f>
        <v>Le Guen</v>
      </c>
      <c r="J2">
        <v>1993</v>
      </c>
      <c r="K2" t="s">
        <v>13</v>
      </c>
      <c r="L2" s="2">
        <f>MINUTE(E2)*60+SECOND(E2)</f>
        <v>1788</v>
      </c>
      <c r="M2">
        <f>ROUND(L2/10, 0)</f>
        <v>179</v>
      </c>
    </row>
    <row r="3" spans="1:13" x14ac:dyDescent="0.3">
      <c r="A3">
        <v>2</v>
      </c>
      <c r="B3" t="s">
        <v>14</v>
      </c>
      <c r="C3">
        <v>1985</v>
      </c>
      <c r="D3" t="s">
        <v>15</v>
      </c>
      <c r="E3" s="1">
        <v>2.105324074074074E-2</v>
      </c>
      <c r="F3" s="1"/>
      <c r="G3">
        <v>2</v>
      </c>
      <c r="H3" s="1" t="str">
        <f t="shared" ref="H3:H66" si="0">LEFT(B3, FIND(" ", B3))</f>
        <v xml:space="preserve">Simon </v>
      </c>
      <c r="I3" s="1" t="str">
        <f t="shared" ref="I3:I66" si="1">RIGHT(B3, LEN(B3) - FIND(" ", B3))</f>
        <v>Tesfay</v>
      </c>
      <c r="J3">
        <v>1985</v>
      </c>
      <c r="K3" t="s">
        <v>15</v>
      </c>
      <c r="L3" s="2">
        <f t="shared" ref="L3:L66" si="2">MINUTE(E3)*60+SECOND(E3)</f>
        <v>1819</v>
      </c>
      <c r="M3">
        <f t="shared" ref="M3:M66" si="3">ROUND(L3/10, 0)</f>
        <v>182</v>
      </c>
    </row>
    <row r="4" spans="1:13" x14ac:dyDescent="0.3">
      <c r="A4">
        <v>3</v>
      </c>
      <c r="B4" t="s">
        <v>16</v>
      </c>
      <c r="C4">
        <v>1996</v>
      </c>
      <c r="D4" t="s">
        <v>13</v>
      </c>
      <c r="E4" s="1">
        <v>2.1076388888888888E-2</v>
      </c>
      <c r="F4" s="1"/>
      <c r="G4">
        <v>3</v>
      </c>
      <c r="H4" s="1" t="str">
        <f t="shared" si="0"/>
        <v xml:space="preserve">Guillaume </v>
      </c>
      <c r="I4" s="1" t="str">
        <f t="shared" si="1"/>
        <v>Cachelin</v>
      </c>
      <c r="J4">
        <v>1996</v>
      </c>
      <c r="K4" t="s">
        <v>13</v>
      </c>
      <c r="L4" s="2">
        <f t="shared" si="2"/>
        <v>1821</v>
      </c>
      <c r="M4">
        <f t="shared" si="3"/>
        <v>182</v>
      </c>
    </row>
    <row r="5" spans="1:13" x14ac:dyDescent="0.3">
      <c r="A5">
        <v>4</v>
      </c>
      <c r="B5" t="s">
        <v>17</v>
      </c>
      <c r="C5">
        <v>2002</v>
      </c>
      <c r="D5" t="s">
        <v>18</v>
      </c>
      <c r="E5" s="1">
        <v>2.1643518518518517E-2</v>
      </c>
      <c r="F5" s="1"/>
      <c r="G5">
        <v>4</v>
      </c>
      <c r="H5" s="1" t="str">
        <f t="shared" si="0"/>
        <v xml:space="preserve">Nathan </v>
      </c>
      <c r="I5" s="1" t="str">
        <f t="shared" si="1"/>
        <v>Wanner</v>
      </c>
      <c r="J5">
        <v>2002</v>
      </c>
      <c r="K5" t="s">
        <v>18</v>
      </c>
      <c r="L5" s="2">
        <f t="shared" si="2"/>
        <v>1870</v>
      </c>
      <c r="M5">
        <f t="shared" si="3"/>
        <v>187</v>
      </c>
    </row>
    <row r="6" spans="1:13" x14ac:dyDescent="0.3">
      <c r="A6">
        <v>5</v>
      </c>
      <c r="B6" t="s">
        <v>19</v>
      </c>
      <c r="C6">
        <v>1988</v>
      </c>
      <c r="D6" t="s">
        <v>20</v>
      </c>
      <c r="E6" s="1">
        <v>2.1747685185185186E-2</v>
      </c>
      <c r="F6" s="1"/>
      <c r="G6">
        <v>5</v>
      </c>
      <c r="H6" s="1" t="str">
        <f t="shared" si="0"/>
        <v xml:space="preserve">Manu </v>
      </c>
      <c r="I6" s="1" t="str">
        <f t="shared" si="1"/>
        <v>Sassi</v>
      </c>
      <c r="J6">
        <v>1988</v>
      </c>
      <c r="K6" t="s">
        <v>20</v>
      </c>
      <c r="L6" s="2">
        <f t="shared" si="2"/>
        <v>1879</v>
      </c>
      <c r="M6">
        <f t="shared" si="3"/>
        <v>188</v>
      </c>
    </row>
    <row r="7" spans="1:13" x14ac:dyDescent="0.3">
      <c r="A7">
        <v>6</v>
      </c>
      <c r="B7" t="s">
        <v>21</v>
      </c>
      <c r="C7">
        <v>2001</v>
      </c>
      <c r="D7" t="s">
        <v>15</v>
      </c>
      <c r="E7" s="1">
        <v>2.1770833333333333E-2</v>
      </c>
      <c r="F7" s="1"/>
      <c r="G7">
        <v>6</v>
      </c>
      <c r="H7" s="1" t="str">
        <f t="shared" si="0"/>
        <v xml:space="preserve">Robin </v>
      </c>
      <c r="I7" s="1" t="str">
        <f t="shared" si="1"/>
        <v>Mennet</v>
      </c>
      <c r="J7">
        <v>2001</v>
      </c>
      <c r="K7" t="s">
        <v>15</v>
      </c>
      <c r="L7" s="2">
        <f t="shared" si="2"/>
        <v>1881</v>
      </c>
      <c r="M7">
        <f t="shared" si="3"/>
        <v>188</v>
      </c>
    </row>
    <row r="8" spans="1:13" x14ac:dyDescent="0.3">
      <c r="A8">
        <v>7</v>
      </c>
      <c r="B8" t="s">
        <v>22</v>
      </c>
      <c r="C8">
        <v>1993</v>
      </c>
      <c r="D8" t="s">
        <v>13</v>
      </c>
      <c r="E8" s="1">
        <v>2.179398148148148E-2</v>
      </c>
      <c r="F8" s="1"/>
      <c r="G8">
        <v>7</v>
      </c>
      <c r="H8" s="1" t="str">
        <f t="shared" si="0"/>
        <v xml:space="preserve">Ilias </v>
      </c>
      <c r="I8" s="1" t="str">
        <f t="shared" si="1"/>
        <v>Hernandez</v>
      </c>
      <c r="J8">
        <v>1993</v>
      </c>
      <c r="K8" t="s">
        <v>13</v>
      </c>
      <c r="L8" s="2">
        <f t="shared" si="2"/>
        <v>1883</v>
      </c>
      <c r="M8">
        <f t="shared" si="3"/>
        <v>188</v>
      </c>
    </row>
    <row r="9" spans="1:13" x14ac:dyDescent="0.3">
      <c r="A9">
        <v>8</v>
      </c>
      <c r="B9" t="s">
        <v>23</v>
      </c>
      <c r="C9">
        <v>1996</v>
      </c>
      <c r="D9" t="s">
        <v>15</v>
      </c>
      <c r="E9" s="1">
        <v>2.2152777777777778E-2</v>
      </c>
      <c r="F9" s="1"/>
      <c r="G9">
        <v>8</v>
      </c>
      <c r="H9" s="1" t="str">
        <f t="shared" si="0"/>
        <v xml:space="preserve">Janis </v>
      </c>
      <c r="I9" s="1" t="str">
        <f t="shared" si="1"/>
        <v>Gächter</v>
      </c>
      <c r="J9">
        <v>1996</v>
      </c>
      <c r="K9" t="s">
        <v>15</v>
      </c>
      <c r="L9" s="2">
        <f t="shared" si="2"/>
        <v>1914</v>
      </c>
      <c r="M9">
        <f t="shared" si="3"/>
        <v>191</v>
      </c>
    </row>
    <row r="10" spans="1:13" x14ac:dyDescent="0.3">
      <c r="A10">
        <v>9</v>
      </c>
      <c r="B10" t="s">
        <v>24</v>
      </c>
      <c r="C10">
        <v>1995</v>
      </c>
      <c r="D10" t="s">
        <v>15</v>
      </c>
      <c r="E10" s="1">
        <v>2.2199074074074072E-2</v>
      </c>
      <c r="F10" s="1"/>
      <c r="G10">
        <v>9</v>
      </c>
      <c r="H10" s="1" t="str">
        <f t="shared" si="0"/>
        <v xml:space="preserve">Jan </v>
      </c>
      <c r="I10" s="1" t="str">
        <f t="shared" si="1"/>
        <v>Rüttimann</v>
      </c>
      <c r="J10">
        <v>1995</v>
      </c>
      <c r="K10" t="s">
        <v>15</v>
      </c>
      <c r="L10" s="2">
        <f t="shared" si="2"/>
        <v>1918</v>
      </c>
      <c r="M10">
        <f t="shared" si="3"/>
        <v>192</v>
      </c>
    </row>
    <row r="11" spans="1:13" x14ac:dyDescent="0.3">
      <c r="A11">
        <v>10</v>
      </c>
      <c r="B11" t="s">
        <v>25</v>
      </c>
      <c r="C11">
        <v>1990</v>
      </c>
      <c r="D11" t="s">
        <v>26</v>
      </c>
      <c r="E11" s="1">
        <v>2.2372685185185186E-2</v>
      </c>
      <c r="F11" s="1"/>
      <c r="G11">
        <v>10</v>
      </c>
      <c r="H11" s="1" t="str">
        <f t="shared" si="0"/>
        <v xml:space="preserve">Gaël </v>
      </c>
      <c r="I11" s="1" t="str">
        <f t="shared" si="1"/>
        <v>Planes</v>
      </c>
      <c r="J11">
        <v>1990</v>
      </c>
      <c r="K11" t="s">
        <v>26</v>
      </c>
      <c r="L11" s="2">
        <f t="shared" si="2"/>
        <v>1933</v>
      </c>
      <c r="M11">
        <f t="shared" si="3"/>
        <v>193</v>
      </c>
    </row>
    <row r="12" spans="1:13" x14ac:dyDescent="0.3">
      <c r="A12">
        <v>11</v>
      </c>
      <c r="B12" t="s">
        <v>27</v>
      </c>
      <c r="C12">
        <v>1992</v>
      </c>
      <c r="D12" t="s">
        <v>28</v>
      </c>
      <c r="E12" s="1">
        <v>2.2418981481481481E-2</v>
      </c>
      <c r="F12" s="1"/>
      <c r="G12">
        <v>11</v>
      </c>
      <c r="H12" s="1" t="str">
        <f t="shared" si="0"/>
        <v xml:space="preserve">Daniel </v>
      </c>
      <c r="I12" s="1" t="str">
        <f t="shared" si="1"/>
        <v>Lustenberger</v>
      </c>
      <c r="J12">
        <v>1992</v>
      </c>
      <c r="K12" t="s">
        <v>28</v>
      </c>
      <c r="L12" s="2">
        <f t="shared" si="2"/>
        <v>1937</v>
      </c>
      <c r="M12">
        <f t="shared" si="3"/>
        <v>194</v>
      </c>
    </row>
    <row r="13" spans="1:13" x14ac:dyDescent="0.3">
      <c r="A13">
        <v>12</v>
      </c>
      <c r="B13" t="s">
        <v>29</v>
      </c>
      <c r="C13">
        <v>1982</v>
      </c>
      <c r="D13" t="s">
        <v>30</v>
      </c>
      <c r="E13" s="1">
        <v>2.2476851851851852E-2</v>
      </c>
      <c r="F13" s="1"/>
      <c r="G13">
        <v>12</v>
      </c>
      <c r="H13" s="1" t="str">
        <f t="shared" si="0"/>
        <v xml:space="preserve">Martin </v>
      </c>
      <c r="I13" s="1" t="str">
        <f t="shared" si="1"/>
        <v>Zürcher</v>
      </c>
      <c r="J13">
        <v>1982</v>
      </c>
      <c r="K13" t="s">
        <v>30</v>
      </c>
      <c r="L13" s="2">
        <f t="shared" si="2"/>
        <v>1942</v>
      </c>
      <c r="M13">
        <f t="shared" si="3"/>
        <v>194</v>
      </c>
    </row>
    <row r="14" spans="1:13" x14ac:dyDescent="0.3">
      <c r="A14">
        <v>13</v>
      </c>
      <c r="B14" t="s">
        <v>31</v>
      </c>
      <c r="C14">
        <v>1990</v>
      </c>
      <c r="D14" t="s">
        <v>32</v>
      </c>
      <c r="E14" s="1">
        <v>2.2499999999999999E-2</v>
      </c>
      <c r="F14" s="1"/>
      <c r="G14">
        <v>13</v>
      </c>
      <c r="H14" s="1" t="str">
        <f t="shared" si="0"/>
        <v xml:space="preserve">Armin </v>
      </c>
      <c r="I14" s="1" t="str">
        <f t="shared" si="1"/>
        <v>Flückiger</v>
      </c>
      <c r="J14">
        <v>1990</v>
      </c>
      <c r="K14" t="s">
        <v>32</v>
      </c>
      <c r="L14" s="2">
        <f t="shared" si="2"/>
        <v>1944</v>
      </c>
      <c r="M14">
        <f t="shared" si="3"/>
        <v>194</v>
      </c>
    </row>
    <row r="15" spans="1:13" x14ac:dyDescent="0.3">
      <c r="A15">
        <v>14</v>
      </c>
      <c r="B15" t="s">
        <v>33</v>
      </c>
      <c r="C15">
        <v>1991</v>
      </c>
      <c r="D15" t="s">
        <v>34</v>
      </c>
      <c r="E15" s="1">
        <v>2.269675925925926E-2</v>
      </c>
      <c r="F15" s="1"/>
      <c r="G15">
        <v>14</v>
      </c>
      <c r="H15" s="1" t="str">
        <f t="shared" si="0"/>
        <v xml:space="preserve">Jérémy </v>
      </c>
      <c r="I15" s="1" t="str">
        <f t="shared" si="1"/>
        <v>Schouwey</v>
      </c>
      <c r="J15">
        <v>1991</v>
      </c>
      <c r="K15" t="s">
        <v>34</v>
      </c>
      <c r="L15" s="2">
        <f t="shared" si="2"/>
        <v>1961</v>
      </c>
      <c r="M15">
        <f t="shared" si="3"/>
        <v>196</v>
      </c>
    </row>
    <row r="16" spans="1:13" x14ac:dyDescent="0.3">
      <c r="A16">
        <v>15</v>
      </c>
      <c r="B16" t="s">
        <v>35</v>
      </c>
      <c r="C16">
        <v>1994</v>
      </c>
      <c r="D16" t="s">
        <v>36</v>
      </c>
      <c r="E16" s="1">
        <v>2.2719907407407407E-2</v>
      </c>
      <c r="F16" s="1"/>
      <c r="G16">
        <v>15</v>
      </c>
      <c r="H16" s="1" t="str">
        <f t="shared" si="0"/>
        <v xml:space="preserve">Phil </v>
      </c>
      <c r="I16" s="1" t="str">
        <f t="shared" si="1"/>
        <v>Besson</v>
      </c>
      <c r="J16">
        <v>1994</v>
      </c>
      <c r="K16" t="s">
        <v>36</v>
      </c>
      <c r="L16" s="2">
        <f t="shared" si="2"/>
        <v>1963</v>
      </c>
      <c r="M16">
        <f t="shared" si="3"/>
        <v>196</v>
      </c>
    </row>
    <row r="17" spans="1:13" x14ac:dyDescent="0.3">
      <c r="A17">
        <v>16</v>
      </c>
      <c r="B17" t="s">
        <v>37</v>
      </c>
      <c r="C17">
        <v>1999</v>
      </c>
      <c r="D17" t="s">
        <v>38</v>
      </c>
      <c r="E17" s="1">
        <v>2.2731481481481481E-2</v>
      </c>
      <c r="F17" s="1"/>
      <c r="G17">
        <v>16</v>
      </c>
      <c r="H17" s="1" t="str">
        <f t="shared" si="0"/>
        <v xml:space="preserve">Nicola </v>
      </c>
      <c r="I17" s="1" t="str">
        <f t="shared" si="1"/>
        <v>Hagger</v>
      </c>
      <c r="J17">
        <v>1999</v>
      </c>
      <c r="K17" t="s">
        <v>38</v>
      </c>
      <c r="L17" s="2">
        <f t="shared" si="2"/>
        <v>1964</v>
      </c>
      <c r="M17">
        <f t="shared" si="3"/>
        <v>196</v>
      </c>
    </row>
    <row r="18" spans="1:13" x14ac:dyDescent="0.3">
      <c r="A18">
        <v>17</v>
      </c>
      <c r="B18" t="s">
        <v>39</v>
      </c>
      <c r="C18">
        <v>1987</v>
      </c>
      <c r="D18" t="s">
        <v>13</v>
      </c>
      <c r="E18" s="1">
        <v>2.2754629629629628E-2</v>
      </c>
      <c r="F18" s="1"/>
      <c r="G18">
        <v>17</v>
      </c>
      <c r="H18" s="1" t="str">
        <f t="shared" si="0"/>
        <v xml:space="preserve">Ricardo </v>
      </c>
      <c r="I18" s="1" t="str">
        <f t="shared" si="1"/>
        <v>Pinto</v>
      </c>
      <c r="J18">
        <v>1987</v>
      </c>
      <c r="K18" t="s">
        <v>13</v>
      </c>
      <c r="L18" s="2">
        <f t="shared" si="2"/>
        <v>1966</v>
      </c>
      <c r="M18">
        <f t="shared" si="3"/>
        <v>197</v>
      </c>
    </row>
    <row r="19" spans="1:13" x14ac:dyDescent="0.3">
      <c r="A19">
        <v>18</v>
      </c>
      <c r="B19" t="s">
        <v>40</v>
      </c>
      <c r="C19">
        <v>2000</v>
      </c>
      <c r="D19" t="s">
        <v>41</v>
      </c>
      <c r="E19" s="1">
        <v>2.2766203703703705E-2</v>
      </c>
      <c r="F19" s="1"/>
      <c r="G19">
        <v>18</v>
      </c>
      <c r="H19" s="1" t="str">
        <f t="shared" si="0"/>
        <v xml:space="preserve">Marc </v>
      </c>
      <c r="I19" s="1" t="str">
        <f t="shared" si="1"/>
        <v>Rotzetter</v>
      </c>
      <c r="J19">
        <v>2000</v>
      </c>
      <c r="K19" t="s">
        <v>41</v>
      </c>
      <c r="L19" s="2">
        <f t="shared" si="2"/>
        <v>1967</v>
      </c>
      <c r="M19">
        <f t="shared" si="3"/>
        <v>197</v>
      </c>
    </row>
    <row r="20" spans="1:13" x14ac:dyDescent="0.3">
      <c r="A20">
        <v>19</v>
      </c>
      <c r="B20" t="s">
        <v>42</v>
      </c>
      <c r="C20">
        <v>1975</v>
      </c>
      <c r="E20" s="1">
        <v>2.2812499999999999E-2</v>
      </c>
      <c r="F20" s="1"/>
      <c r="G20">
        <v>19</v>
      </c>
      <c r="H20" s="1" t="str">
        <f t="shared" si="0"/>
        <v xml:space="preserve">David </v>
      </c>
      <c r="I20" s="1" t="str">
        <f t="shared" si="1"/>
        <v>Senn</v>
      </c>
      <c r="J20">
        <v>1975</v>
      </c>
      <c r="L20" s="2">
        <f t="shared" si="2"/>
        <v>1971</v>
      </c>
      <c r="M20">
        <f t="shared" si="3"/>
        <v>197</v>
      </c>
    </row>
    <row r="21" spans="1:13" x14ac:dyDescent="0.3">
      <c r="A21">
        <v>20</v>
      </c>
      <c r="B21" t="s">
        <v>43</v>
      </c>
      <c r="C21">
        <v>1996</v>
      </c>
      <c r="D21" t="s">
        <v>38</v>
      </c>
      <c r="E21" s="1">
        <v>2.2812499999999999E-2</v>
      </c>
      <c r="F21" s="1"/>
      <c r="G21">
        <v>20</v>
      </c>
      <c r="H21" s="1" t="str">
        <f t="shared" si="0"/>
        <v xml:space="preserve">Stefan </v>
      </c>
      <c r="I21" s="1" t="str">
        <f t="shared" si="1"/>
        <v>Ulrich</v>
      </c>
      <c r="J21">
        <v>1996</v>
      </c>
      <c r="K21" t="s">
        <v>38</v>
      </c>
      <c r="L21" s="2">
        <f t="shared" si="2"/>
        <v>1971</v>
      </c>
      <c r="M21">
        <f t="shared" si="3"/>
        <v>197</v>
      </c>
    </row>
    <row r="22" spans="1:13" x14ac:dyDescent="0.3">
      <c r="A22">
        <v>21</v>
      </c>
      <c r="B22" t="s">
        <v>44</v>
      </c>
      <c r="C22">
        <v>1998</v>
      </c>
      <c r="D22" t="s">
        <v>45</v>
      </c>
      <c r="E22" s="1">
        <v>2.2835648148148147E-2</v>
      </c>
      <c r="F22" s="1"/>
      <c r="G22">
        <v>21</v>
      </c>
      <c r="H22" s="1" t="str">
        <f t="shared" si="0"/>
        <v xml:space="preserve">Valentin </v>
      </c>
      <c r="I22" s="1" t="str">
        <f t="shared" si="1"/>
        <v>Gutknecht</v>
      </c>
      <c r="J22">
        <v>1998</v>
      </c>
      <c r="K22" t="s">
        <v>45</v>
      </c>
      <c r="L22" s="2">
        <f t="shared" si="2"/>
        <v>1973</v>
      </c>
      <c r="M22">
        <f t="shared" si="3"/>
        <v>197</v>
      </c>
    </row>
    <row r="23" spans="1:13" x14ac:dyDescent="0.3">
      <c r="A23">
        <v>22</v>
      </c>
      <c r="B23" t="s">
        <v>46</v>
      </c>
      <c r="C23">
        <v>2000</v>
      </c>
      <c r="D23" t="s">
        <v>47</v>
      </c>
      <c r="E23" s="1">
        <v>2.2835648148148147E-2</v>
      </c>
      <c r="F23" s="1"/>
      <c r="G23">
        <v>22</v>
      </c>
      <c r="H23" s="1" t="str">
        <f t="shared" si="0"/>
        <v xml:space="preserve">Tim </v>
      </c>
      <c r="I23" s="1" t="str">
        <f t="shared" si="1"/>
        <v>Hübscher</v>
      </c>
      <c r="J23">
        <v>2000</v>
      </c>
      <c r="K23" t="s">
        <v>47</v>
      </c>
      <c r="L23" s="2">
        <f t="shared" si="2"/>
        <v>1973</v>
      </c>
      <c r="M23">
        <f t="shared" si="3"/>
        <v>197</v>
      </c>
    </row>
    <row r="24" spans="1:13" x14ac:dyDescent="0.3">
      <c r="A24">
        <v>23</v>
      </c>
      <c r="B24" t="s">
        <v>48</v>
      </c>
      <c r="C24">
        <v>2000</v>
      </c>
      <c r="D24" t="s">
        <v>49</v>
      </c>
      <c r="E24" s="1">
        <v>2.2974537037037036E-2</v>
      </c>
      <c r="F24" s="1"/>
      <c r="G24">
        <v>23</v>
      </c>
      <c r="H24" s="1" t="str">
        <f t="shared" si="0"/>
        <v xml:space="preserve">Linus </v>
      </c>
      <c r="I24" s="1" t="str">
        <f t="shared" si="1"/>
        <v>Bernhard</v>
      </c>
      <c r="J24">
        <v>2000</v>
      </c>
      <c r="K24" t="s">
        <v>49</v>
      </c>
      <c r="L24" s="2">
        <f t="shared" si="2"/>
        <v>1985</v>
      </c>
      <c r="M24">
        <f t="shared" si="3"/>
        <v>199</v>
      </c>
    </row>
    <row r="25" spans="1:13" x14ac:dyDescent="0.3">
      <c r="A25">
        <v>24</v>
      </c>
      <c r="B25" t="s">
        <v>50</v>
      </c>
      <c r="C25">
        <v>1980</v>
      </c>
      <c r="D25" t="s">
        <v>32</v>
      </c>
      <c r="E25" s="1">
        <v>2.3078703703703702E-2</v>
      </c>
      <c r="F25" s="1"/>
      <c r="G25">
        <v>24</v>
      </c>
      <c r="H25" s="1" t="str">
        <f t="shared" si="0"/>
        <v xml:space="preserve">Samuel </v>
      </c>
      <c r="I25" s="1" t="str">
        <f t="shared" si="1"/>
        <v>Morf</v>
      </c>
      <c r="J25">
        <v>1980</v>
      </c>
      <c r="K25" t="s">
        <v>32</v>
      </c>
      <c r="L25" s="2">
        <f t="shared" si="2"/>
        <v>1994</v>
      </c>
      <c r="M25">
        <f t="shared" si="3"/>
        <v>199</v>
      </c>
    </row>
    <row r="26" spans="1:13" x14ac:dyDescent="0.3">
      <c r="A26">
        <v>25</v>
      </c>
      <c r="B26" t="s">
        <v>51</v>
      </c>
      <c r="C26">
        <v>2008</v>
      </c>
      <c r="D26" t="s">
        <v>45</v>
      </c>
      <c r="E26" s="1">
        <v>2.3148148148148147E-2</v>
      </c>
      <c r="F26" s="1"/>
      <c r="G26">
        <v>25</v>
      </c>
      <c r="H26" s="1" t="str">
        <f t="shared" si="0"/>
        <v xml:space="preserve">Alex </v>
      </c>
      <c r="I26" s="1" t="str">
        <f t="shared" si="1"/>
        <v>Stricker</v>
      </c>
      <c r="J26">
        <v>2008</v>
      </c>
      <c r="K26" t="s">
        <v>45</v>
      </c>
      <c r="L26" s="2">
        <f t="shared" si="2"/>
        <v>2000</v>
      </c>
      <c r="M26">
        <f t="shared" si="3"/>
        <v>200</v>
      </c>
    </row>
    <row r="27" spans="1:13" x14ac:dyDescent="0.3">
      <c r="A27">
        <v>26</v>
      </c>
      <c r="B27" t="s">
        <v>52</v>
      </c>
      <c r="C27">
        <v>1999</v>
      </c>
      <c r="D27" t="s">
        <v>53</v>
      </c>
      <c r="E27" s="1">
        <v>2.3171296296296297E-2</v>
      </c>
      <c r="F27" s="1"/>
      <c r="G27">
        <v>26</v>
      </c>
      <c r="H27" s="1" t="str">
        <f t="shared" si="0"/>
        <v xml:space="preserve">Tommaso </v>
      </c>
      <c r="I27" s="1" t="str">
        <f t="shared" si="1"/>
        <v>Marani</v>
      </c>
      <c r="J27">
        <v>1999</v>
      </c>
      <c r="K27" t="s">
        <v>53</v>
      </c>
      <c r="L27" s="2">
        <f t="shared" si="2"/>
        <v>2002</v>
      </c>
      <c r="M27">
        <f t="shared" si="3"/>
        <v>200</v>
      </c>
    </row>
    <row r="28" spans="1:13" x14ac:dyDescent="0.3">
      <c r="A28">
        <v>27</v>
      </c>
      <c r="B28" t="s">
        <v>54</v>
      </c>
      <c r="C28">
        <v>1991</v>
      </c>
      <c r="D28" t="s">
        <v>32</v>
      </c>
      <c r="E28" s="1">
        <v>2.3171296296296297E-2</v>
      </c>
      <c r="F28" s="1"/>
      <c r="G28">
        <v>27</v>
      </c>
      <c r="H28" s="1" t="str">
        <f t="shared" si="0"/>
        <v xml:space="preserve">Samir </v>
      </c>
      <c r="I28" s="1" t="str">
        <f t="shared" si="1"/>
        <v>Vetterli</v>
      </c>
      <c r="J28">
        <v>1991</v>
      </c>
      <c r="K28" t="s">
        <v>32</v>
      </c>
      <c r="L28" s="2">
        <f t="shared" si="2"/>
        <v>2002</v>
      </c>
      <c r="M28">
        <f t="shared" si="3"/>
        <v>200</v>
      </c>
    </row>
    <row r="29" spans="1:13" x14ac:dyDescent="0.3">
      <c r="A29">
        <v>28</v>
      </c>
      <c r="B29" t="s">
        <v>55</v>
      </c>
      <c r="C29">
        <v>1995</v>
      </c>
      <c r="D29" t="s">
        <v>56</v>
      </c>
      <c r="E29" s="1">
        <v>2.3182870370370371E-2</v>
      </c>
      <c r="F29" s="1"/>
      <c r="G29">
        <v>28</v>
      </c>
      <c r="H29" s="1" t="str">
        <f t="shared" si="0"/>
        <v xml:space="preserve">Flurin </v>
      </c>
      <c r="I29" s="1" t="str">
        <f t="shared" si="1"/>
        <v>Leugger</v>
      </c>
      <c r="J29">
        <v>1995</v>
      </c>
      <c r="K29" t="s">
        <v>56</v>
      </c>
      <c r="L29" s="2">
        <f t="shared" si="2"/>
        <v>2003</v>
      </c>
      <c r="M29">
        <f t="shared" si="3"/>
        <v>200</v>
      </c>
    </row>
    <row r="30" spans="1:13" x14ac:dyDescent="0.3">
      <c r="A30">
        <v>29</v>
      </c>
      <c r="B30" t="s">
        <v>57</v>
      </c>
      <c r="C30">
        <v>1987</v>
      </c>
      <c r="D30" t="s">
        <v>38</v>
      </c>
      <c r="E30" s="1">
        <v>2.3333333333333334E-2</v>
      </c>
      <c r="F30" s="1"/>
      <c r="G30">
        <v>29</v>
      </c>
      <c r="H30" s="1" t="str">
        <f t="shared" si="0"/>
        <v xml:space="preserve">Stephan </v>
      </c>
      <c r="I30" s="1" t="str">
        <f t="shared" si="1"/>
        <v>Lowiner</v>
      </c>
      <c r="J30">
        <v>1987</v>
      </c>
      <c r="K30" t="s">
        <v>38</v>
      </c>
      <c r="L30" s="2">
        <f t="shared" si="2"/>
        <v>2016</v>
      </c>
      <c r="M30">
        <f t="shared" si="3"/>
        <v>202</v>
      </c>
    </row>
    <row r="31" spans="1:13" x14ac:dyDescent="0.3">
      <c r="A31">
        <v>30</v>
      </c>
      <c r="B31" t="s">
        <v>58</v>
      </c>
      <c r="C31">
        <v>2002</v>
      </c>
      <c r="D31" t="s">
        <v>15</v>
      </c>
      <c r="E31" s="1">
        <v>2.3356481481481482E-2</v>
      </c>
      <c r="F31" s="1"/>
      <c r="G31">
        <v>30</v>
      </c>
      <c r="H31" s="1" t="str">
        <f t="shared" si="0"/>
        <v xml:space="preserve">Miro </v>
      </c>
      <c r="I31" s="1" t="str">
        <f t="shared" si="1"/>
        <v>Mülli</v>
      </c>
      <c r="J31">
        <v>2002</v>
      </c>
      <c r="K31" t="s">
        <v>15</v>
      </c>
      <c r="L31" s="2">
        <f t="shared" si="2"/>
        <v>2018</v>
      </c>
      <c r="M31">
        <f t="shared" si="3"/>
        <v>202</v>
      </c>
    </row>
    <row r="32" spans="1:13" x14ac:dyDescent="0.3">
      <c r="A32">
        <v>31</v>
      </c>
      <c r="B32" t="s">
        <v>59</v>
      </c>
      <c r="C32">
        <v>1984</v>
      </c>
      <c r="D32" t="s">
        <v>60</v>
      </c>
      <c r="E32" s="1">
        <v>2.3414351851851853E-2</v>
      </c>
      <c r="F32" s="1"/>
      <c r="G32">
        <v>31</v>
      </c>
      <c r="H32" s="1" t="str">
        <f t="shared" si="0"/>
        <v xml:space="preserve">Sven </v>
      </c>
      <c r="I32" s="1" t="str">
        <f t="shared" si="1"/>
        <v>Marti</v>
      </c>
      <c r="J32">
        <v>1984</v>
      </c>
      <c r="K32" t="s">
        <v>60</v>
      </c>
      <c r="L32" s="2">
        <f t="shared" si="2"/>
        <v>2023</v>
      </c>
      <c r="M32">
        <f t="shared" si="3"/>
        <v>202</v>
      </c>
    </row>
    <row r="33" spans="1:13" x14ac:dyDescent="0.3">
      <c r="A33">
        <v>32</v>
      </c>
      <c r="B33" t="s">
        <v>61</v>
      </c>
      <c r="C33">
        <v>2006</v>
      </c>
      <c r="D33" t="s">
        <v>62</v>
      </c>
      <c r="E33" s="1">
        <v>2.3414351851851853E-2</v>
      </c>
      <c r="F33" s="1"/>
      <c r="G33">
        <v>32</v>
      </c>
      <c r="H33" s="1" t="str">
        <f t="shared" si="0"/>
        <v xml:space="preserve">Lorin </v>
      </c>
      <c r="I33" s="1" t="str">
        <f t="shared" si="1"/>
        <v>Länzlinger</v>
      </c>
      <c r="J33">
        <v>2006</v>
      </c>
      <c r="K33" t="s">
        <v>62</v>
      </c>
      <c r="L33" s="2">
        <f t="shared" si="2"/>
        <v>2023</v>
      </c>
      <c r="M33">
        <f t="shared" si="3"/>
        <v>202</v>
      </c>
    </row>
    <row r="34" spans="1:13" x14ac:dyDescent="0.3">
      <c r="A34">
        <v>33</v>
      </c>
      <c r="B34" t="s">
        <v>63</v>
      </c>
      <c r="C34">
        <v>1991</v>
      </c>
      <c r="D34" t="s">
        <v>47</v>
      </c>
      <c r="E34" s="1">
        <v>2.34375E-2</v>
      </c>
      <c r="F34" s="1"/>
      <c r="G34">
        <v>33</v>
      </c>
      <c r="H34" s="1" t="str">
        <f t="shared" si="0"/>
        <v xml:space="preserve">Timo </v>
      </c>
      <c r="I34" s="1" t="str">
        <f t="shared" si="1"/>
        <v>Marquetant</v>
      </c>
      <c r="J34">
        <v>1991</v>
      </c>
      <c r="K34" t="s">
        <v>47</v>
      </c>
      <c r="L34" s="2">
        <f t="shared" si="2"/>
        <v>2025</v>
      </c>
      <c r="M34">
        <f t="shared" si="3"/>
        <v>203</v>
      </c>
    </row>
    <row r="35" spans="1:13" x14ac:dyDescent="0.3">
      <c r="A35">
        <v>34</v>
      </c>
      <c r="B35" t="s">
        <v>64</v>
      </c>
      <c r="C35">
        <v>1987</v>
      </c>
      <c r="D35" t="s">
        <v>65</v>
      </c>
      <c r="E35" s="1">
        <v>2.3449074074074074E-2</v>
      </c>
      <c r="F35" s="1"/>
      <c r="G35">
        <v>34</v>
      </c>
      <c r="H35" s="1" t="str">
        <f t="shared" si="0"/>
        <v xml:space="preserve">Philipp </v>
      </c>
      <c r="I35" s="1" t="str">
        <f t="shared" si="1"/>
        <v>Arnold</v>
      </c>
      <c r="J35">
        <v>1987</v>
      </c>
      <c r="K35" t="s">
        <v>65</v>
      </c>
      <c r="L35" s="2">
        <f t="shared" si="2"/>
        <v>2026</v>
      </c>
      <c r="M35">
        <f t="shared" si="3"/>
        <v>203</v>
      </c>
    </row>
    <row r="36" spans="1:13" x14ac:dyDescent="0.3">
      <c r="A36">
        <v>35</v>
      </c>
      <c r="B36" t="s">
        <v>66</v>
      </c>
      <c r="C36">
        <v>1996</v>
      </c>
      <c r="D36" t="s">
        <v>13</v>
      </c>
      <c r="E36" s="1">
        <v>2.3541666666666666E-2</v>
      </c>
      <c r="F36" s="1"/>
      <c r="G36">
        <v>35</v>
      </c>
      <c r="H36" s="1" t="str">
        <f t="shared" si="0"/>
        <v xml:space="preserve">Jérôme </v>
      </c>
      <c r="I36" s="1" t="str">
        <f t="shared" si="1"/>
        <v>Vuichard</v>
      </c>
      <c r="J36">
        <v>1996</v>
      </c>
      <c r="K36" t="s">
        <v>13</v>
      </c>
      <c r="L36" s="2">
        <f t="shared" si="2"/>
        <v>2034</v>
      </c>
      <c r="M36">
        <f t="shared" si="3"/>
        <v>203</v>
      </c>
    </row>
    <row r="37" spans="1:13" x14ac:dyDescent="0.3">
      <c r="A37">
        <v>36</v>
      </c>
      <c r="B37" t="s">
        <v>67</v>
      </c>
      <c r="C37">
        <v>2003</v>
      </c>
      <c r="D37" t="s">
        <v>68</v>
      </c>
      <c r="E37" s="1">
        <v>2.3553240740740739E-2</v>
      </c>
      <c r="F37" s="1"/>
      <c r="G37">
        <v>36</v>
      </c>
      <c r="H37" s="1" t="str">
        <f t="shared" si="0"/>
        <v xml:space="preserve">Loic </v>
      </c>
      <c r="I37" s="1" t="str">
        <f t="shared" si="1"/>
        <v>Dubois</v>
      </c>
      <c r="J37">
        <v>2003</v>
      </c>
      <c r="K37" t="s">
        <v>68</v>
      </c>
      <c r="L37" s="2">
        <f t="shared" si="2"/>
        <v>2035</v>
      </c>
      <c r="M37">
        <f t="shared" si="3"/>
        <v>204</v>
      </c>
    </row>
    <row r="38" spans="1:13" x14ac:dyDescent="0.3">
      <c r="A38">
        <v>37</v>
      </c>
      <c r="B38" t="s">
        <v>69</v>
      </c>
      <c r="C38">
        <v>2005</v>
      </c>
      <c r="D38" t="s">
        <v>32</v>
      </c>
      <c r="E38" s="1">
        <v>2.3564814814814816E-2</v>
      </c>
      <c r="F38" s="1"/>
      <c r="G38">
        <v>37</v>
      </c>
      <c r="H38" s="1" t="str">
        <f t="shared" si="0"/>
        <v xml:space="preserve">David </v>
      </c>
      <c r="I38" s="1" t="str">
        <f t="shared" si="1"/>
        <v>Baumberger</v>
      </c>
      <c r="J38">
        <v>2005</v>
      </c>
      <c r="K38" t="s">
        <v>32</v>
      </c>
      <c r="L38" s="2">
        <f t="shared" si="2"/>
        <v>2036</v>
      </c>
      <c r="M38">
        <f t="shared" si="3"/>
        <v>204</v>
      </c>
    </row>
    <row r="39" spans="1:13" x14ac:dyDescent="0.3">
      <c r="A39">
        <v>38</v>
      </c>
      <c r="B39" t="s">
        <v>70</v>
      </c>
      <c r="C39">
        <v>1998</v>
      </c>
      <c r="D39" t="s">
        <v>15</v>
      </c>
      <c r="E39" s="1">
        <v>2.3587962962962963E-2</v>
      </c>
      <c r="F39" s="1"/>
      <c r="G39">
        <v>38</v>
      </c>
      <c r="H39" s="1" t="str">
        <f t="shared" si="0"/>
        <v xml:space="preserve">Samuel </v>
      </c>
      <c r="I39" s="1" t="str">
        <f t="shared" si="1"/>
        <v>Mayer Rey Despenzia</v>
      </c>
      <c r="J39">
        <v>1998</v>
      </c>
      <c r="K39" t="s">
        <v>15</v>
      </c>
      <c r="L39" s="2">
        <f t="shared" si="2"/>
        <v>2038</v>
      </c>
      <c r="M39">
        <f t="shared" si="3"/>
        <v>204</v>
      </c>
    </row>
    <row r="40" spans="1:13" x14ac:dyDescent="0.3">
      <c r="A40">
        <v>39</v>
      </c>
      <c r="B40" t="s">
        <v>71</v>
      </c>
      <c r="C40">
        <v>1977</v>
      </c>
      <c r="D40" t="s">
        <v>72</v>
      </c>
      <c r="E40" s="1">
        <v>2.3587962962962963E-2</v>
      </c>
      <c r="F40" s="1"/>
      <c r="G40">
        <v>39</v>
      </c>
      <c r="H40" s="1" t="str">
        <f t="shared" si="0"/>
        <v xml:space="preserve">Mark </v>
      </c>
      <c r="I40" s="1" t="str">
        <f t="shared" si="1"/>
        <v>Lagerström</v>
      </c>
      <c r="J40">
        <v>1977</v>
      </c>
      <c r="K40" t="s">
        <v>72</v>
      </c>
      <c r="L40" s="2">
        <f t="shared" si="2"/>
        <v>2038</v>
      </c>
      <c r="M40">
        <f t="shared" si="3"/>
        <v>204</v>
      </c>
    </row>
    <row r="41" spans="1:13" x14ac:dyDescent="0.3">
      <c r="A41">
        <v>40</v>
      </c>
      <c r="B41" t="s">
        <v>73</v>
      </c>
      <c r="C41">
        <v>1991</v>
      </c>
      <c r="D41" t="s">
        <v>74</v>
      </c>
      <c r="E41" s="1">
        <v>2.3657407407407408E-2</v>
      </c>
      <c r="F41" s="1"/>
      <c r="G41">
        <v>40</v>
      </c>
      <c r="H41" s="1" t="str">
        <f t="shared" si="0"/>
        <v xml:space="preserve">Gian-Luca </v>
      </c>
      <c r="I41" s="1" t="str">
        <f t="shared" si="1"/>
        <v>Michael</v>
      </c>
      <c r="J41">
        <v>1991</v>
      </c>
      <c r="K41" t="s">
        <v>74</v>
      </c>
      <c r="L41" s="2">
        <f t="shared" si="2"/>
        <v>2044</v>
      </c>
      <c r="M41">
        <f t="shared" si="3"/>
        <v>204</v>
      </c>
    </row>
    <row r="42" spans="1:13" x14ac:dyDescent="0.3">
      <c r="A42">
        <v>41</v>
      </c>
      <c r="B42" t="s">
        <v>75</v>
      </c>
      <c r="C42">
        <v>1996</v>
      </c>
      <c r="D42" t="s">
        <v>76</v>
      </c>
      <c r="E42" s="1">
        <v>2.375E-2</v>
      </c>
      <c r="F42" s="1"/>
      <c r="G42">
        <v>41</v>
      </c>
      <c r="H42" s="1" t="str">
        <f t="shared" si="0"/>
        <v xml:space="preserve">Emanuel </v>
      </c>
      <c r="I42" s="1" t="str">
        <f t="shared" si="1"/>
        <v>Ritzmann</v>
      </c>
      <c r="J42">
        <v>1996</v>
      </c>
      <c r="K42" t="s">
        <v>76</v>
      </c>
      <c r="L42" s="2">
        <f t="shared" si="2"/>
        <v>2052</v>
      </c>
      <c r="M42">
        <f t="shared" si="3"/>
        <v>205</v>
      </c>
    </row>
    <row r="43" spans="1:13" x14ac:dyDescent="0.3">
      <c r="A43">
        <v>42</v>
      </c>
      <c r="B43" t="s">
        <v>77</v>
      </c>
      <c r="C43">
        <v>1993</v>
      </c>
      <c r="D43" t="s">
        <v>78</v>
      </c>
      <c r="E43" s="1">
        <v>2.3784722222222221E-2</v>
      </c>
      <c r="F43" s="1"/>
      <c r="G43">
        <v>42</v>
      </c>
      <c r="H43" s="1" t="str">
        <f t="shared" si="0"/>
        <v xml:space="preserve">Ivo </v>
      </c>
      <c r="I43" s="1" t="str">
        <f t="shared" si="1"/>
        <v>Zangger</v>
      </c>
      <c r="J43">
        <v>1993</v>
      </c>
      <c r="K43" t="s">
        <v>78</v>
      </c>
      <c r="L43" s="2">
        <f t="shared" si="2"/>
        <v>2055</v>
      </c>
      <c r="M43">
        <f t="shared" si="3"/>
        <v>206</v>
      </c>
    </row>
    <row r="44" spans="1:13" x14ac:dyDescent="0.3">
      <c r="A44">
        <v>43</v>
      </c>
      <c r="B44" t="s">
        <v>79</v>
      </c>
      <c r="C44">
        <v>1983</v>
      </c>
      <c r="E44" s="1">
        <v>2.3807870370370372E-2</v>
      </c>
      <c r="F44" s="1"/>
      <c r="G44">
        <v>43</v>
      </c>
      <c r="H44" s="1" t="str">
        <f t="shared" si="0"/>
        <v xml:space="preserve">Christian </v>
      </c>
      <c r="I44" s="1" t="str">
        <f t="shared" si="1"/>
        <v>Sommer</v>
      </c>
      <c r="J44">
        <v>1983</v>
      </c>
      <c r="L44" s="2">
        <f t="shared" si="2"/>
        <v>2057</v>
      </c>
      <c r="M44">
        <f t="shared" si="3"/>
        <v>206</v>
      </c>
    </row>
    <row r="45" spans="1:13" x14ac:dyDescent="0.3">
      <c r="A45">
        <v>44</v>
      </c>
      <c r="B45" t="s">
        <v>80</v>
      </c>
      <c r="C45">
        <v>1995</v>
      </c>
      <c r="D45" t="s">
        <v>81</v>
      </c>
      <c r="E45" s="1">
        <v>2.3842592592592592E-2</v>
      </c>
      <c r="F45" s="1"/>
      <c r="G45">
        <v>44</v>
      </c>
      <c r="H45" s="1" t="str">
        <f t="shared" si="0"/>
        <v xml:space="preserve">Roman </v>
      </c>
      <c r="I45" s="1" t="str">
        <f t="shared" si="1"/>
        <v>Vögeli</v>
      </c>
      <c r="J45">
        <v>1995</v>
      </c>
      <c r="K45" t="s">
        <v>81</v>
      </c>
      <c r="L45" s="2">
        <f t="shared" si="2"/>
        <v>2060</v>
      </c>
      <c r="M45">
        <f t="shared" si="3"/>
        <v>206</v>
      </c>
    </row>
    <row r="46" spans="1:13" x14ac:dyDescent="0.3">
      <c r="A46">
        <v>45</v>
      </c>
      <c r="B46" t="s">
        <v>82</v>
      </c>
      <c r="C46">
        <v>1979</v>
      </c>
      <c r="D46" t="s">
        <v>83</v>
      </c>
      <c r="E46" s="1">
        <v>2.3854166666666666E-2</v>
      </c>
      <c r="F46" s="1"/>
      <c r="G46">
        <v>45</v>
      </c>
      <c r="H46" s="1" t="str">
        <f t="shared" si="0"/>
        <v xml:space="preserve">David </v>
      </c>
      <c r="I46" s="1" t="str">
        <f t="shared" si="1"/>
        <v>Girardet</v>
      </c>
      <c r="J46">
        <v>1979</v>
      </c>
      <c r="K46" t="s">
        <v>83</v>
      </c>
      <c r="L46" s="2">
        <f t="shared" si="2"/>
        <v>2061</v>
      </c>
      <c r="M46">
        <f t="shared" si="3"/>
        <v>206</v>
      </c>
    </row>
    <row r="47" spans="1:13" x14ac:dyDescent="0.3">
      <c r="A47">
        <v>46</v>
      </c>
      <c r="B47" t="s">
        <v>84</v>
      </c>
      <c r="C47">
        <v>1973</v>
      </c>
      <c r="D47" t="s">
        <v>85</v>
      </c>
      <c r="E47" s="1">
        <v>2.4155092592592593E-2</v>
      </c>
      <c r="F47" s="1"/>
      <c r="G47">
        <v>46</v>
      </c>
      <c r="H47" s="1" t="str">
        <f t="shared" si="0"/>
        <v xml:space="preserve">Christian </v>
      </c>
      <c r="I47" s="1" t="str">
        <f t="shared" si="1"/>
        <v>Fischer</v>
      </c>
      <c r="J47">
        <v>1973</v>
      </c>
      <c r="K47" t="s">
        <v>85</v>
      </c>
      <c r="L47" s="2">
        <f t="shared" si="2"/>
        <v>2087</v>
      </c>
      <c r="M47">
        <f t="shared" si="3"/>
        <v>209</v>
      </c>
    </row>
    <row r="48" spans="1:13" x14ac:dyDescent="0.3">
      <c r="A48">
        <v>47</v>
      </c>
      <c r="B48" t="s">
        <v>86</v>
      </c>
      <c r="C48">
        <v>2006</v>
      </c>
      <c r="D48" t="s">
        <v>87</v>
      </c>
      <c r="E48" s="1">
        <v>2.4293981481481482E-2</v>
      </c>
      <c r="F48" s="1"/>
      <c r="G48">
        <v>47</v>
      </c>
      <c r="H48" s="1" t="str">
        <f t="shared" si="0"/>
        <v xml:space="preserve">Jonas </v>
      </c>
      <c r="I48" s="1" t="str">
        <f t="shared" si="1"/>
        <v>Oliva</v>
      </c>
      <c r="J48">
        <v>2006</v>
      </c>
      <c r="K48" t="s">
        <v>87</v>
      </c>
      <c r="L48" s="2">
        <f t="shared" si="2"/>
        <v>2099</v>
      </c>
      <c r="M48">
        <f t="shared" si="3"/>
        <v>210</v>
      </c>
    </row>
    <row r="49" spans="1:13" x14ac:dyDescent="0.3">
      <c r="A49">
        <v>48</v>
      </c>
      <c r="B49" t="s">
        <v>88</v>
      </c>
      <c r="C49">
        <v>2006</v>
      </c>
      <c r="D49" t="s">
        <v>89</v>
      </c>
      <c r="E49" s="1">
        <v>2.4375000000000001E-2</v>
      </c>
      <c r="F49" s="1"/>
      <c r="G49">
        <v>48</v>
      </c>
      <c r="H49" s="1" t="str">
        <f t="shared" si="0"/>
        <v xml:space="preserve">Elia </v>
      </c>
      <c r="I49" s="1" t="str">
        <f t="shared" si="1"/>
        <v>Maggetti</v>
      </c>
      <c r="J49">
        <v>2006</v>
      </c>
      <c r="K49" t="s">
        <v>89</v>
      </c>
      <c r="L49" s="2">
        <f t="shared" si="2"/>
        <v>2106</v>
      </c>
      <c r="M49">
        <f t="shared" si="3"/>
        <v>211</v>
      </c>
    </row>
    <row r="50" spans="1:13" x14ac:dyDescent="0.3">
      <c r="A50">
        <v>49</v>
      </c>
      <c r="B50" t="s">
        <v>90</v>
      </c>
      <c r="C50">
        <v>1983</v>
      </c>
      <c r="D50" t="s">
        <v>91</v>
      </c>
      <c r="E50" s="1">
        <v>2.4432870370370369E-2</v>
      </c>
      <c r="F50" s="1"/>
      <c r="G50">
        <v>49</v>
      </c>
      <c r="H50" s="1" t="str">
        <f t="shared" si="0"/>
        <v xml:space="preserve">Christophe </v>
      </c>
      <c r="I50" s="1" t="str">
        <f t="shared" si="1"/>
        <v>Heydel</v>
      </c>
      <c r="J50">
        <v>1983</v>
      </c>
      <c r="K50" t="s">
        <v>91</v>
      </c>
      <c r="L50" s="2">
        <f t="shared" si="2"/>
        <v>2111</v>
      </c>
      <c r="M50">
        <f t="shared" si="3"/>
        <v>211</v>
      </c>
    </row>
    <row r="51" spans="1:13" x14ac:dyDescent="0.3">
      <c r="A51">
        <v>50</v>
      </c>
      <c r="B51" t="s">
        <v>92</v>
      </c>
      <c r="C51">
        <v>1995</v>
      </c>
      <c r="D51" t="s">
        <v>93</v>
      </c>
      <c r="E51" s="1">
        <v>2.4456018518518519E-2</v>
      </c>
      <c r="F51" s="1"/>
      <c r="G51">
        <v>50</v>
      </c>
      <c r="H51" s="1" t="str">
        <f t="shared" si="0"/>
        <v xml:space="preserve">Dario </v>
      </c>
      <c r="I51" s="1" t="str">
        <f t="shared" si="1"/>
        <v>Werder</v>
      </c>
      <c r="J51">
        <v>1995</v>
      </c>
      <c r="K51" t="s">
        <v>93</v>
      </c>
      <c r="L51" s="2">
        <f t="shared" si="2"/>
        <v>2113</v>
      </c>
      <c r="M51">
        <f t="shared" si="3"/>
        <v>211</v>
      </c>
    </row>
    <row r="52" spans="1:13" x14ac:dyDescent="0.3">
      <c r="A52">
        <v>51</v>
      </c>
      <c r="B52" t="s">
        <v>94</v>
      </c>
      <c r="C52">
        <v>1994</v>
      </c>
      <c r="D52" t="s">
        <v>13</v>
      </c>
      <c r="E52" s="1">
        <v>2.4606481481481483E-2</v>
      </c>
      <c r="F52" s="1"/>
      <c r="G52">
        <v>51</v>
      </c>
      <c r="H52" s="1" t="str">
        <f t="shared" si="0"/>
        <v xml:space="preserve">Thomas </v>
      </c>
      <c r="I52" s="1" t="str">
        <f t="shared" si="1"/>
        <v>Pedrazzoli</v>
      </c>
      <c r="J52">
        <v>1994</v>
      </c>
      <c r="K52" t="s">
        <v>13</v>
      </c>
      <c r="L52" s="2">
        <f t="shared" si="2"/>
        <v>2126</v>
      </c>
      <c r="M52">
        <f t="shared" si="3"/>
        <v>213</v>
      </c>
    </row>
    <row r="53" spans="1:13" x14ac:dyDescent="0.3">
      <c r="A53">
        <v>52</v>
      </c>
      <c r="B53" t="s">
        <v>95</v>
      </c>
      <c r="C53">
        <v>2008</v>
      </c>
      <c r="D53" t="s">
        <v>96</v>
      </c>
      <c r="E53" s="1">
        <v>2.4652777777777777E-2</v>
      </c>
      <c r="F53" s="1"/>
      <c r="G53">
        <v>52</v>
      </c>
      <c r="H53" s="1" t="str">
        <f t="shared" si="0"/>
        <v xml:space="preserve">Finn </v>
      </c>
      <c r="I53" s="1" t="str">
        <f t="shared" si="1"/>
        <v>Wüst</v>
      </c>
      <c r="J53">
        <v>2008</v>
      </c>
      <c r="K53" t="s">
        <v>96</v>
      </c>
      <c r="L53" s="2">
        <f t="shared" si="2"/>
        <v>2130</v>
      </c>
      <c r="M53">
        <f t="shared" si="3"/>
        <v>213</v>
      </c>
    </row>
    <row r="54" spans="1:13" x14ac:dyDescent="0.3">
      <c r="A54">
        <v>53</v>
      </c>
      <c r="B54" t="s">
        <v>97</v>
      </c>
      <c r="C54">
        <v>1983</v>
      </c>
      <c r="E54" s="1">
        <v>2.4872685185185185E-2</v>
      </c>
      <c r="F54" s="1"/>
      <c r="G54">
        <v>53</v>
      </c>
      <c r="H54" s="1" t="str">
        <f t="shared" si="0"/>
        <v xml:space="preserve">Michael </v>
      </c>
      <c r="I54" s="1" t="str">
        <f t="shared" si="1"/>
        <v>Steiner</v>
      </c>
      <c r="J54">
        <v>1983</v>
      </c>
      <c r="L54" s="2">
        <f t="shared" si="2"/>
        <v>2149</v>
      </c>
      <c r="M54">
        <f t="shared" si="3"/>
        <v>215</v>
      </c>
    </row>
    <row r="55" spans="1:13" x14ac:dyDescent="0.3">
      <c r="A55">
        <v>54</v>
      </c>
      <c r="B55" t="s">
        <v>98</v>
      </c>
      <c r="C55">
        <v>1968</v>
      </c>
      <c r="D55" t="s">
        <v>99</v>
      </c>
      <c r="E55" s="1">
        <v>2.4918981481481483E-2</v>
      </c>
      <c r="F55" s="1"/>
      <c r="G55">
        <v>54</v>
      </c>
      <c r="H55" s="1" t="str">
        <f t="shared" si="0"/>
        <v xml:space="preserve">Cecil </v>
      </c>
      <c r="I55" s="1" t="str">
        <f t="shared" si="1"/>
        <v>Wheeler</v>
      </c>
      <c r="J55">
        <v>1968</v>
      </c>
      <c r="K55" t="s">
        <v>99</v>
      </c>
      <c r="L55" s="2">
        <f t="shared" si="2"/>
        <v>2153</v>
      </c>
      <c r="M55">
        <f t="shared" si="3"/>
        <v>215</v>
      </c>
    </row>
    <row r="56" spans="1:13" x14ac:dyDescent="0.3">
      <c r="A56">
        <v>55</v>
      </c>
      <c r="B56" t="s">
        <v>100</v>
      </c>
      <c r="C56">
        <v>1982</v>
      </c>
      <c r="D56" t="s">
        <v>101</v>
      </c>
      <c r="E56" s="1">
        <v>2.4965277777777777E-2</v>
      </c>
      <c r="F56" s="1"/>
      <c r="G56">
        <v>55</v>
      </c>
      <c r="H56" s="1" t="str">
        <f t="shared" si="0"/>
        <v xml:space="preserve">Philipp </v>
      </c>
      <c r="I56" s="1" t="str">
        <f t="shared" si="1"/>
        <v>Bütikofer</v>
      </c>
      <c r="J56">
        <v>1982</v>
      </c>
      <c r="K56" t="s">
        <v>101</v>
      </c>
      <c r="L56" s="2">
        <f t="shared" si="2"/>
        <v>2157</v>
      </c>
      <c r="M56">
        <f t="shared" si="3"/>
        <v>216</v>
      </c>
    </row>
    <row r="57" spans="1:13" x14ac:dyDescent="0.3">
      <c r="A57">
        <v>56</v>
      </c>
      <c r="B57" t="s">
        <v>102</v>
      </c>
      <c r="C57">
        <v>1975</v>
      </c>
      <c r="D57" t="s">
        <v>103</v>
      </c>
      <c r="E57" s="1">
        <v>2.5092592592592593E-2</v>
      </c>
      <c r="F57" s="1"/>
      <c r="G57">
        <v>56</v>
      </c>
      <c r="H57" s="1" t="str">
        <f t="shared" si="0"/>
        <v xml:space="preserve">Ivan </v>
      </c>
      <c r="I57" s="1" t="str">
        <f t="shared" si="1"/>
        <v>Schmid</v>
      </c>
      <c r="J57">
        <v>1975</v>
      </c>
      <c r="K57" t="s">
        <v>103</v>
      </c>
      <c r="L57" s="2">
        <f t="shared" si="2"/>
        <v>2168</v>
      </c>
      <c r="M57">
        <f t="shared" si="3"/>
        <v>217</v>
      </c>
    </row>
    <row r="58" spans="1:13" x14ac:dyDescent="0.3">
      <c r="A58">
        <v>57</v>
      </c>
      <c r="B58" t="s">
        <v>104</v>
      </c>
      <c r="C58">
        <v>1982</v>
      </c>
      <c r="D58" t="s">
        <v>105</v>
      </c>
      <c r="E58" s="1">
        <v>2.5104166666666667E-2</v>
      </c>
      <c r="F58" s="1"/>
      <c r="G58">
        <v>57</v>
      </c>
      <c r="H58" s="1" t="str">
        <f t="shared" si="0"/>
        <v xml:space="preserve">Alessandro </v>
      </c>
      <c r="I58" s="1" t="str">
        <f t="shared" si="1"/>
        <v>Zanetti</v>
      </c>
      <c r="J58">
        <v>1982</v>
      </c>
      <c r="K58" t="s">
        <v>105</v>
      </c>
      <c r="L58" s="2">
        <f t="shared" si="2"/>
        <v>2169</v>
      </c>
      <c r="M58">
        <f t="shared" si="3"/>
        <v>217</v>
      </c>
    </row>
    <row r="59" spans="1:13" x14ac:dyDescent="0.3">
      <c r="A59">
        <v>58</v>
      </c>
      <c r="B59" t="s">
        <v>106</v>
      </c>
      <c r="C59">
        <v>1976</v>
      </c>
      <c r="E59" s="1">
        <v>2.5150462962962961E-2</v>
      </c>
      <c r="F59" s="1"/>
      <c r="G59">
        <v>58</v>
      </c>
      <c r="H59" s="1" t="str">
        <f t="shared" si="0"/>
        <v xml:space="preserve">Simon </v>
      </c>
      <c r="I59" s="1" t="str">
        <f t="shared" si="1"/>
        <v>Lloyd</v>
      </c>
      <c r="J59">
        <v>1976</v>
      </c>
      <c r="L59" s="2">
        <f t="shared" si="2"/>
        <v>2173</v>
      </c>
      <c r="M59">
        <f t="shared" si="3"/>
        <v>217</v>
      </c>
    </row>
    <row r="60" spans="1:13" x14ac:dyDescent="0.3">
      <c r="A60">
        <v>59</v>
      </c>
      <c r="B60" t="s">
        <v>107</v>
      </c>
      <c r="C60">
        <v>1991</v>
      </c>
      <c r="D60" t="s">
        <v>108</v>
      </c>
      <c r="E60" s="1">
        <v>2.5173611111111112E-2</v>
      </c>
      <c r="F60" s="1"/>
      <c r="G60">
        <v>59</v>
      </c>
      <c r="H60" s="1" t="str">
        <f t="shared" si="0"/>
        <v xml:space="preserve">Adria </v>
      </c>
      <c r="I60" s="1" t="str">
        <f t="shared" si="1"/>
        <v>Alcala</v>
      </c>
      <c r="J60">
        <v>1991</v>
      </c>
      <c r="K60" t="s">
        <v>108</v>
      </c>
      <c r="L60" s="2">
        <f t="shared" si="2"/>
        <v>2175</v>
      </c>
      <c r="M60">
        <f t="shared" si="3"/>
        <v>218</v>
      </c>
    </row>
    <row r="61" spans="1:13" x14ac:dyDescent="0.3">
      <c r="A61">
        <v>60</v>
      </c>
      <c r="B61" t="s">
        <v>109</v>
      </c>
      <c r="C61">
        <v>1974</v>
      </c>
      <c r="D61" t="s">
        <v>110</v>
      </c>
      <c r="E61" s="1">
        <v>2.5196759259259259E-2</v>
      </c>
      <c r="F61" s="1"/>
      <c r="G61">
        <v>60</v>
      </c>
      <c r="H61" s="1" t="str">
        <f t="shared" si="0"/>
        <v xml:space="preserve">Stefan </v>
      </c>
      <c r="I61" s="1" t="str">
        <f t="shared" si="1"/>
        <v>Epp</v>
      </c>
      <c r="J61">
        <v>1974</v>
      </c>
      <c r="K61" t="s">
        <v>110</v>
      </c>
      <c r="L61" s="2">
        <f t="shared" si="2"/>
        <v>2177</v>
      </c>
      <c r="M61">
        <f t="shared" si="3"/>
        <v>218</v>
      </c>
    </row>
    <row r="62" spans="1:13" x14ac:dyDescent="0.3">
      <c r="A62">
        <v>61</v>
      </c>
      <c r="B62" t="s">
        <v>111</v>
      </c>
      <c r="C62">
        <v>2001</v>
      </c>
      <c r="D62" t="s">
        <v>112</v>
      </c>
      <c r="E62" s="1">
        <v>2.5289351851851851E-2</v>
      </c>
      <c r="F62" s="1"/>
      <c r="G62">
        <v>61</v>
      </c>
      <c r="H62" s="1" t="str">
        <f t="shared" si="0"/>
        <v xml:space="preserve">Nicolà </v>
      </c>
      <c r="I62" s="1" t="str">
        <f t="shared" si="1"/>
        <v>Gfeller</v>
      </c>
      <c r="J62">
        <v>2001</v>
      </c>
      <c r="K62" t="s">
        <v>112</v>
      </c>
      <c r="L62" s="2">
        <f t="shared" si="2"/>
        <v>2185</v>
      </c>
      <c r="M62">
        <f t="shared" si="3"/>
        <v>219</v>
      </c>
    </row>
    <row r="63" spans="1:13" x14ac:dyDescent="0.3">
      <c r="A63">
        <v>62</v>
      </c>
      <c r="B63" t="s">
        <v>113</v>
      </c>
      <c r="C63">
        <v>2000</v>
      </c>
      <c r="D63" t="s">
        <v>49</v>
      </c>
      <c r="E63" s="1">
        <v>2.5312500000000002E-2</v>
      </c>
      <c r="F63" s="1"/>
      <c r="G63">
        <v>62</v>
      </c>
      <c r="H63" s="1" t="str">
        <f t="shared" si="0"/>
        <v xml:space="preserve">Robin </v>
      </c>
      <c r="I63" s="1" t="str">
        <f t="shared" si="1"/>
        <v>Oberholzer</v>
      </c>
      <c r="J63">
        <v>2000</v>
      </c>
      <c r="K63" t="s">
        <v>49</v>
      </c>
      <c r="L63" s="2">
        <f t="shared" si="2"/>
        <v>2187</v>
      </c>
      <c r="M63">
        <f t="shared" si="3"/>
        <v>219</v>
      </c>
    </row>
    <row r="64" spans="1:13" x14ac:dyDescent="0.3">
      <c r="A64">
        <v>63</v>
      </c>
      <c r="B64" t="s">
        <v>114</v>
      </c>
      <c r="C64">
        <v>1997</v>
      </c>
      <c r="D64" t="s">
        <v>115</v>
      </c>
      <c r="E64" s="1">
        <v>2.5358796296296296E-2</v>
      </c>
      <c r="F64" s="1"/>
      <c r="G64">
        <v>63</v>
      </c>
      <c r="H64" s="1" t="str">
        <f t="shared" si="0"/>
        <v xml:space="preserve">Silvan </v>
      </c>
      <c r="I64" s="1" t="str">
        <f t="shared" si="1"/>
        <v>Rohr</v>
      </c>
      <c r="J64">
        <v>1997</v>
      </c>
      <c r="K64" t="s">
        <v>115</v>
      </c>
      <c r="L64" s="2">
        <f t="shared" si="2"/>
        <v>2191</v>
      </c>
      <c r="M64">
        <f t="shared" si="3"/>
        <v>219</v>
      </c>
    </row>
    <row r="65" spans="1:13" x14ac:dyDescent="0.3">
      <c r="A65">
        <v>64</v>
      </c>
      <c r="B65" t="s">
        <v>116</v>
      </c>
      <c r="C65">
        <v>1974</v>
      </c>
      <c r="E65" s="1">
        <v>2.5381944444444443E-2</v>
      </c>
      <c r="F65" s="1"/>
      <c r="G65">
        <v>64</v>
      </c>
      <c r="H65" s="1" t="str">
        <f t="shared" si="0"/>
        <v xml:space="preserve">Marcel </v>
      </c>
      <c r="I65" s="1" t="str">
        <f t="shared" si="1"/>
        <v>Tschopp</v>
      </c>
      <c r="J65">
        <v>1974</v>
      </c>
      <c r="L65" s="2">
        <f t="shared" si="2"/>
        <v>2193</v>
      </c>
      <c r="M65">
        <f t="shared" si="3"/>
        <v>219</v>
      </c>
    </row>
    <row r="66" spans="1:13" x14ac:dyDescent="0.3">
      <c r="A66">
        <v>65</v>
      </c>
      <c r="B66" t="s">
        <v>117</v>
      </c>
      <c r="C66">
        <v>1988</v>
      </c>
      <c r="E66" s="1">
        <v>2.539351851851852E-2</v>
      </c>
      <c r="F66" s="1"/>
      <c r="G66">
        <v>65</v>
      </c>
      <c r="H66" s="1" t="str">
        <f t="shared" si="0"/>
        <v xml:space="preserve">Philipp </v>
      </c>
      <c r="I66" s="1" t="str">
        <f t="shared" si="1"/>
        <v>Döbeli</v>
      </c>
      <c r="J66">
        <v>1988</v>
      </c>
      <c r="L66" s="2">
        <f t="shared" si="2"/>
        <v>2194</v>
      </c>
      <c r="M66">
        <f t="shared" si="3"/>
        <v>219</v>
      </c>
    </row>
    <row r="67" spans="1:13" x14ac:dyDescent="0.3">
      <c r="A67">
        <v>66</v>
      </c>
      <c r="B67" t="s">
        <v>118</v>
      </c>
      <c r="C67">
        <v>1997</v>
      </c>
      <c r="E67" s="1">
        <v>2.554398148148148E-2</v>
      </c>
      <c r="F67" s="1"/>
      <c r="G67">
        <v>66</v>
      </c>
      <c r="H67" s="1" t="str">
        <f t="shared" ref="H67:H101" si="4">LEFT(B67, FIND(" ", B67))</f>
        <v xml:space="preserve">Basile </v>
      </c>
      <c r="I67" s="1" t="str">
        <f t="shared" ref="I67:I101" si="5">RIGHT(B67, LEN(B67) - FIND(" ", B67))</f>
        <v>Schneider</v>
      </c>
      <c r="J67">
        <v>1997</v>
      </c>
      <c r="L67" s="2">
        <f t="shared" ref="L67:L101" si="6">MINUTE(E67)*60+SECOND(E67)</f>
        <v>2207</v>
      </c>
      <c r="M67">
        <f t="shared" ref="M67:M101" si="7">ROUND(L67/10, 0)</f>
        <v>221</v>
      </c>
    </row>
    <row r="68" spans="1:13" x14ac:dyDescent="0.3">
      <c r="A68">
        <v>67</v>
      </c>
      <c r="B68" t="s">
        <v>119</v>
      </c>
      <c r="C68">
        <v>1998</v>
      </c>
      <c r="D68" t="s">
        <v>120</v>
      </c>
      <c r="E68" s="1">
        <v>2.5706018518518517E-2</v>
      </c>
      <c r="F68" s="1"/>
      <c r="G68">
        <v>67</v>
      </c>
      <c r="H68" s="1" t="str">
        <f t="shared" si="4"/>
        <v xml:space="preserve">Julian </v>
      </c>
      <c r="I68" s="1" t="str">
        <f t="shared" si="5"/>
        <v>Gundi</v>
      </c>
      <c r="J68">
        <v>1998</v>
      </c>
      <c r="K68" t="s">
        <v>120</v>
      </c>
      <c r="L68" s="2">
        <f t="shared" si="6"/>
        <v>2221</v>
      </c>
      <c r="M68">
        <f t="shared" si="7"/>
        <v>222</v>
      </c>
    </row>
    <row r="69" spans="1:13" x14ac:dyDescent="0.3">
      <c r="A69">
        <v>68</v>
      </c>
      <c r="B69" t="s">
        <v>121</v>
      </c>
      <c r="C69">
        <v>1969</v>
      </c>
      <c r="D69" t="s">
        <v>122</v>
      </c>
      <c r="E69" s="1">
        <v>2.5740740740740741E-2</v>
      </c>
      <c r="F69" s="1"/>
      <c r="G69">
        <v>68</v>
      </c>
      <c r="H69" s="1" t="str">
        <f t="shared" si="4"/>
        <v xml:space="preserve">Oliver </v>
      </c>
      <c r="I69" s="1" t="str">
        <f t="shared" si="5"/>
        <v>Daniel Senn</v>
      </c>
      <c r="J69">
        <v>1969</v>
      </c>
      <c r="K69" t="s">
        <v>122</v>
      </c>
      <c r="L69" s="2">
        <f t="shared" si="6"/>
        <v>2224</v>
      </c>
      <c r="M69">
        <f t="shared" si="7"/>
        <v>222</v>
      </c>
    </row>
    <row r="70" spans="1:13" x14ac:dyDescent="0.3">
      <c r="A70">
        <v>69</v>
      </c>
      <c r="B70" t="s">
        <v>123</v>
      </c>
      <c r="C70">
        <v>1971</v>
      </c>
      <c r="D70" t="s">
        <v>110</v>
      </c>
      <c r="E70" s="1">
        <v>2.5763888888888888E-2</v>
      </c>
      <c r="F70" s="1"/>
      <c r="G70">
        <v>69</v>
      </c>
      <c r="H70" s="1" t="str">
        <f t="shared" si="4"/>
        <v xml:space="preserve">Andrew </v>
      </c>
      <c r="I70" s="1" t="str">
        <f t="shared" si="5"/>
        <v>Kelly</v>
      </c>
      <c r="J70">
        <v>1971</v>
      </c>
      <c r="K70" t="s">
        <v>110</v>
      </c>
      <c r="L70" s="2">
        <f t="shared" si="6"/>
        <v>2226</v>
      </c>
      <c r="M70">
        <f t="shared" si="7"/>
        <v>223</v>
      </c>
    </row>
    <row r="71" spans="1:13" x14ac:dyDescent="0.3">
      <c r="A71">
        <v>70</v>
      </c>
      <c r="B71" t="s">
        <v>124</v>
      </c>
      <c r="C71">
        <v>1965</v>
      </c>
      <c r="D71" t="s">
        <v>76</v>
      </c>
      <c r="E71" s="1">
        <v>2.5775462962962962E-2</v>
      </c>
      <c r="F71" s="1"/>
      <c r="G71">
        <v>70</v>
      </c>
      <c r="H71" s="1" t="str">
        <f t="shared" si="4"/>
        <v xml:space="preserve">Fritz </v>
      </c>
      <c r="I71" s="1" t="str">
        <f t="shared" si="5"/>
        <v>Leibundgut</v>
      </c>
      <c r="J71">
        <v>1965</v>
      </c>
      <c r="K71" t="s">
        <v>76</v>
      </c>
      <c r="L71" s="2">
        <f t="shared" si="6"/>
        <v>2227</v>
      </c>
      <c r="M71">
        <f t="shared" si="7"/>
        <v>223</v>
      </c>
    </row>
    <row r="72" spans="1:13" x14ac:dyDescent="0.3">
      <c r="A72">
        <v>71</v>
      </c>
      <c r="B72" t="s">
        <v>125</v>
      </c>
      <c r="C72">
        <v>2004</v>
      </c>
      <c r="D72" t="s">
        <v>126</v>
      </c>
      <c r="E72" s="1">
        <v>2.5844907407407407E-2</v>
      </c>
      <c r="F72" s="1"/>
      <c r="G72">
        <v>71</v>
      </c>
      <c r="H72" s="1" t="str">
        <f t="shared" si="4"/>
        <v xml:space="preserve">Quentin </v>
      </c>
      <c r="I72" s="1" t="str">
        <f t="shared" si="5"/>
        <v>Mariaux</v>
      </c>
      <c r="J72">
        <v>2004</v>
      </c>
      <c r="K72" t="s">
        <v>126</v>
      </c>
      <c r="L72" s="2">
        <f t="shared" si="6"/>
        <v>2233</v>
      </c>
      <c r="M72">
        <f t="shared" si="7"/>
        <v>223</v>
      </c>
    </row>
    <row r="73" spans="1:13" x14ac:dyDescent="0.3">
      <c r="A73">
        <v>72</v>
      </c>
      <c r="B73" t="s">
        <v>127</v>
      </c>
      <c r="C73">
        <v>1974</v>
      </c>
      <c r="E73" s="1">
        <v>2.6041666666666668E-2</v>
      </c>
      <c r="F73" s="1"/>
      <c r="G73">
        <v>72</v>
      </c>
      <c r="H73" s="1" t="str">
        <f t="shared" si="4"/>
        <v xml:space="preserve">Reto </v>
      </c>
      <c r="I73" s="1" t="str">
        <f t="shared" si="5"/>
        <v>Althaus</v>
      </c>
      <c r="J73">
        <v>1974</v>
      </c>
      <c r="L73" s="2">
        <f t="shared" si="6"/>
        <v>2250</v>
      </c>
      <c r="M73">
        <f t="shared" si="7"/>
        <v>225</v>
      </c>
    </row>
    <row r="74" spans="1:13" x14ac:dyDescent="0.3">
      <c r="A74">
        <v>73</v>
      </c>
      <c r="B74" t="s">
        <v>128</v>
      </c>
      <c r="C74">
        <v>1972</v>
      </c>
      <c r="D74" t="s">
        <v>30</v>
      </c>
      <c r="E74" s="1">
        <v>2.6122685185185186E-2</v>
      </c>
      <c r="F74" s="1"/>
      <c r="G74">
        <v>73</v>
      </c>
      <c r="H74" s="1" t="str">
        <f t="shared" si="4"/>
        <v xml:space="preserve">Daniel </v>
      </c>
      <c r="I74" s="1" t="str">
        <f t="shared" si="5"/>
        <v>Bouzon</v>
      </c>
      <c r="J74">
        <v>1972</v>
      </c>
      <c r="K74" t="s">
        <v>30</v>
      </c>
      <c r="L74" s="2">
        <f t="shared" si="6"/>
        <v>2257</v>
      </c>
      <c r="M74">
        <f t="shared" si="7"/>
        <v>226</v>
      </c>
    </row>
    <row r="75" spans="1:13" x14ac:dyDescent="0.3">
      <c r="A75">
        <v>74</v>
      </c>
      <c r="B75" t="s">
        <v>129</v>
      </c>
      <c r="C75">
        <v>1972</v>
      </c>
      <c r="D75" t="s">
        <v>130</v>
      </c>
      <c r="E75" s="1">
        <v>2.6215277777777778E-2</v>
      </c>
      <c r="F75" s="1"/>
      <c r="G75">
        <v>74</v>
      </c>
      <c r="H75" s="1" t="str">
        <f t="shared" si="4"/>
        <v xml:space="preserve">Yves </v>
      </c>
      <c r="I75" s="1" t="str">
        <f t="shared" si="5"/>
        <v>Anderegg</v>
      </c>
      <c r="J75">
        <v>1972</v>
      </c>
      <c r="K75" t="s">
        <v>130</v>
      </c>
      <c r="L75" s="2">
        <f t="shared" si="6"/>
        <v>2265</v>
      </c>
      <c r="M75">
        <f t="shared" si="7"/>
        <v>227</v>
      </c>
    </row>
    <row r="76" spans="1:13" x14ac:dyDescent="0.3">
      <c r="A76">
        <v>75</v>
      </c>
      <c r="B76" t="s">
        <v>131</v>
      </c>
      <c r="C76">
        <v>1979</v>
      </c>
      <c r="D76" t="s">
        <v>132</v>
      </c>
      <c r="E76" s="1">
        <v>2.6238425925925925E-2</v>
      </c>
      <c r="F76" s="1"/>
      <c r="G76">
        <v>75</v>
      </c>
      <c r="H76" s="1" t="str">
        <f t="shared" si="4"/>
        <v xml:space="preserve">Rodriguez </v>
      </c>
      <c r="I76" s="1" t="str">
        <f t="shared" si="5"/>
        <v>Harlin</v>
      </c>
      <c r="J76">
        <v>1979</v>
      </c>
      <c r="K76" t="s">
        <v>132</v>
      </c>
      <c r="L76" s="2">
        <f t="shared" si="6"/>
        <v>2267</v>
      </c>
      <c r="M76">
        <f t="shared" si="7"/>
        <v>227</v>
      </c>
    </row>
    <row r="77" spans="1:13" x14ac:dyDescent="0.3">
      <c r="A77">
        <v>76</v>
      </c>
      <c r="B77" t="s">
        <v>133</v>
      </c>
      <c r="C77">
        <v>2005</v>
      </c>
      <c r="D77" t="s">
        <v>62</v>
      </c>
      <c r="E77" s="1">
        <v>2.6516203703703705E-2</v>
      </c>
      <c r="F77" s="1"/>
      <c r="G77">
        <v>76</v>
      </c>
      <c r="H77" s="1" t="str">
        <f t="shared" si="4"/>
        <v xml:space="preserve">Micha </v>
      </c>
      <c r="I77" s="1" t="str">
        <f t="shared" si="5"/>
        <v>Ziegler</v>
      </c>
      <c r="J77">
        <v>2005</v>
      </c>
      <c r="K77" t="s">
        <v>62</v>
      </c>
      <c r="L77" s="2">
        <f t="shared" si="6"/>
        <v>2291</v>
      </c>
      <c r="M77">
        <f t="shared" si="7"/>
        <v>229</v>
      </c>
    </row>
    <row r="78" spans="1:13" x14ac:dyDescent="0.3">
      <c r="A78">
        <v>77</v>
      </c>
      <c r="B78" t="s">
        <v>134</v>
      </c>
      <c r="C78">
        <v>1987</v>
      </c>
      <c r="D78" t="s">
        <v>135</v>
      </c>
      <c r="E78" s="1">
        <v>2.6620370370370371E-2</v>
      </c>
      <c r="F78" s="1"/>
      <c r="G78">
        <v>77</v>
      </c>
      <c r="H78" s="1" t="str">
        <f t="shared" si="4"/>
        <v xml:space="preserve">Björn </v>
      </c>
      <c r="I78" s="1" t="str">
        <f t="shared" si="5"/>
        <v>Imboden</v>
      </c>
      <c r="J78">
        <v>1987</v>
      </c>
      <c r="K78" t="s">
        <v>135</v>
      </c>
      <c r="L78" s="2">
        <f t="shared" si="6"/>
        <v>2300</v>
      </c>
      <c r="M78">
        <f t="shared" si="7"/>
        <v>230</v>
      </c>
    </row>
    <row r="79" spans="1:13" x14ac:dyDescent="0.3">
      <c r="A79">
        <v>78</v>
      </c>
      <c r="B79" t="s">
        <v>136</v>
      </c>
      <c r="C79">
        <v>1960</v>
      </c>
      <c r="D79" t="s">
        <v>30</v>
      </c>
      <c r="E79" s="1">
        <v>2.6747685185185187E-2</v>
      </c>
      <c r="F79" s="1"/>
      <c r="G79">
        <v>78</v>
      </c>
      <c r="H79" s="1" t="str">
        <f t="shared" si="4"/>
        <v xml:space="preserve">Aeneas </v>
      </c>
      <c r="I79" s="1" t="str">
        <f t="shared" si="5"/>
        <v>Appius</v>
      </c>
      <c r="J79">
        <v>1960</v>
      </c>
      <c r="K79" t="s">
        <v>30</v>
      </c>
      <c r="L79" s="2">
        <f t="shared" si="6"/>
        <v>2311</v>
      </c>
      <c r="M79">
        <f t="shared" si="7"/>
        <v>231</v>
      </c>
    </row>
    <row r="80" spans="1:13" x14ac:dyDescent="0.3">
      <c r="A80">
        <v>79</v>
      </c>
      <c r="B80" t="s">
        <v>137</v>
      </c>
      <c r="C80">
        <v>1988</v>
      </c>
      <c r="E80" s="1">
        <v>2.6840277777777779E-2</v>
      </c>
      <c r="F80" s="1"/>
      <c r="G80">
        <v>79</v>
      </c>
      <c r="H80" s="1" t="str">
        <f t="shared" si="4"/>
        <v xml:space="preserve">Marco </v>
      </c>
      <c r="I80" s="1" t="str">
        <f t="shared" si="5"/>
        <v>Rothenfluh</v>
      </c>
      <c r="J80">
        <v>1988</v>
      </c>
      <c r="L80" s="2">
        <f t="shared" si="6"/>
        <v>2319</v>
      </c>
      <c r="M80">
        <f t="shared" si="7"/>
        <v>232</v>
      </c>
    </row>
    <row r="81" spans="1:13" x14ac:dyDescent="0.3">
      <c r="A81">
        <v>80</v>
      </c>
      <c r="B81" t="s">
        <v>138</v>
      </c>
      <c r="C81">
        <v>1969</v>
      </c>
      <c r="D81" t="s">
        <v>139</v>
      </c>
      <c r="E81" s="1">
        <v>2.7152777777777779E-2</v>
      </c>
      <c r="F81" s="1"/>
      <c r="G81">
        <v>80</v>
      </c>
      <c r="H81" s="1" t="str">
        <f t="shared" si="4"/>
        <v xml:space="preserve">Christoph </v>
      </c>
      <c r="I81" s="1" t="str">
        <f t="shared" si="5"/>
        <v>Seiler</v>
      </c>
      <c r="J81">
        <v>1969</v>
      </c>
      <c r="K81" t="s">
        <v>139</v>
      </c>
      <c r="L81" s="2">
        <f t="shared" si="6"/>
        <v>2346</v>
      </c>
      <c r="M81">
        <f t="shared" si="7"/>
        <v>235</v>
      </c>
    </row>
    <row r="82" spans="1:13" x14ac:dyDescent="0.3">
      <c r="A82">
        <v>81</v>
      </c>
      <c r="B82" t="s">
        <v>140</v>
      </c>
      <c r="C82">
        <v>1976</v>
      </c>
      <c r="D82" t="s">
        <v>141</v>
      </c>
      <c r="E82" s="1">
        <v>2.7268518518518518E-2</v>
      </c>
      <c r="F82" s="1"/>
      <c r="G82">
        <v>81</v>
      </c>
      <c r="H82" s="1" t="str">
        <f t="shared" si="4"/>
        <v xml:space="preserve">Christoph </v>
      </c>
      <c r="I82" s="1" t="str">
        <f t="shared" si="5"/>
        <v>Feremutsch</v>
      </c>
      <c r="J82">
        <v>1976</v>
      </c>
      <c r="K82" t="s">
        <v>141</v>
      </c>
      <c r="L82" s="2">
        <f t="shared" si="6"/>
        <v>2356</v>
      </c>
      <c r="M82">
        <f t="shared" si="7"/>
        <v>236</v>
      </c>
    </row>
    <row r="83" spans="1:13" x14ac:dyDescent="0.3">
      <c r="A83">
        <v>82</v>
      </c>
      <c r="B83" t="s">
        <v>142</v>
      </c>
      <c r="C83">
        <v>1957</v>
      </c>
      <c r="D83" t="s">
        <v>143</v>
      </c>
      <c r="E83" s="1">
        <v>2.732638888888889E-2</v>
      </c>
      <c r="F83" s="1"/>
      <c r="G83">
        <v>82</v>
      </c>
      <c r="H83" s="1" t="str">
        <f t="shared" si="4"/>
        <v xml:space="preserve">Stephen </v>
      </c>
      <c r="I83" s="1" t="str">
        <f t="shared" si="5"/>
        <v>Dunlop</v>
      </c>
      <c r="J83">
        <v>1957</v>
      </c>
      <c r="K83" t="s">
        <v>143</v>
      </c>
      <c r="L83" s="2">
        <f t="shared" si="6"/>
        <v>2361</v>
      </c>
      <c r="M83">
        <f t="shared" si="7"/>
        <v>236</v>
      </c>
    </row>
    <row r="84" spans="1:13" x14ac:dyDescent="0.3">
      <c r="A84">
        <v>83</v>
      </c>
      <c r="B84" t="s">
        <v>144</v>
      </c>
      <c r="C84">
        <v>1995</v>
      </c>
      <c r="D84" t="s">
        <v>145</v>
      </c>
      <c r="E84" s="1">
        <v>2.732638888888889E-2</v>
      </c>
      <c r="F84" s="1"/>
      <c r="G84">
        <v>83</v>
      </c>
      <c r="H84" s="1" t="str">
        <f t="shared" si="4"/>
        <v xml:space="preserve">Benjamin </v>
      </c>
      <c r="I84" s="1" t="str">
        <f t="shared" si="5"/>
        <v>Rérat</v>
      </c>
      <c r="J84">
        <v>1995</v>
      </c>
      <c r="K84" t="s">
        <v>145</v>
      </c>
      <c r="L84" s="2">
        <f t="shared" si="6"/>
        <v>2361</v>
      </c>
      <c r="M84">
        <f t="shared" si="7"/>
        <v>236</v>
      </c>
    </row>
    <row r="85" spans="1:13" x14ac:dyDescent="0.3">
      <c r="A85">
        <v>84</v>
      </c>
      <c r="B85" t="s">
        <v>146</v>
      </c>
      <c r="C85">
        <v>1981</v>
      </c>
      <c r="D85" t="s">
        <v>147</v>
      </c>
      <c r="E85" s="1">
        <v>2.7349537037037037E-2</v>
      </c>
      <c r="F85" s="1"/>
      <c r="G85">
        <v>84</v>
      </c>
      <c r="H85" s="1" t="str">
        <f t="shared" si="4"/>
        <v xml:space="preserve">Roger </v>
      </c>
      <c r="I85" s="1" t="str">
        <f t="shared" si="5"/>
        <v>Riegendinger</v>
      </c>
      <c r="J85">
        <v>1981</v>
      </c>
      <c r="K85" t="s">
        <v>147</v>
      </c>
      <c r="L85" s="2">
        <f t="shared" si="6"/>
        <v>2363</v>
      </c>
      <c r="M85">
        <f t="shared" si="7"/>
        <v>236</v>
      </c>
    </row>
    <row r="86" spans="1:13" x14ac:dyDescent="0.3">
      <c r="A86">
        <v>85</v>
      </c>
      <c r="B86" t="s">
        <v>148</v>
      </c>
      <c r="C86">
        <v>1971</v>
      </c>
      <c r="D86" t="s">
        <v>149</v>
      </c>
      <c r="E86" s="1">
        <v>2.7372685185185184E-2</v>
      </c>
      <c r="F86" s="1"/>
      <c r="G86">
        <v>85</v>
      </c>
      <c r="H86" s="1" t="str">
        <f t="shared" si="4"/>
        <v xml:space="preserve">Stephan </v>
      </c>
      <c r="I86" s="1" t="str">
        <f t="shared" si="5"/>
        <v>Mumenthaler</v>
      </c>
      <c r="J86">
        <v>1971</v>
      </c>
      <c r="K86" t="s">
        <v>149</v>
      </c>
      <c r="L86" s="2">
        <f t="shared" si="6"/>
        <v>2365</v>
      </c>
      <c r="M86">
        <f t="shared" si="7"/>
        <v>237</v>
      </c>
    </row>
    <row r="87" spans="1:13" x14ac:dyDescent="0.3">
      <c r="A87">
        <v>86</v>
      </c>
      <c r="B87" t="s">
        <v>150</v>
      </c>
      <c r="C87">
        <v>1968</v>
      </c>
      <c r="D87" t="s">
        <v>151</v>
      </c>
      <c r="E87" s="1">
        <v>2.7546296296296298E-2</v>
      </c>
      <c r="F87" s="1"/>
      <c r="G87">
        <v>86</v>
      </c>
      <c r="H87" s="1" t="str">
        <f t="shared" si="4"/>
        <v xml:space="preserve">Albino </v>
      </c>
      <c r="I87" s="1" t="str">
        <f t="shared" si="5"/>
        <v>Ribeiro</v>
      </c>
      <c r="J87">
        <v>1968</v>
      </c>
      <c r="K87" t="s">
        <v>151</v>
      </c>
      <c r="L87" s="2">
        <f t="shared" si="6"/>
        <v>2380</v>
      </c>
      <c r="M87">
        <f t="shared" si="7"/>
        <v>238</v>
      </c>
    </row>
    <row r="88" spans="1:13" x14ac:dyDescent="0.3">
      <c r="A88">
        <v>87</v>
      </c>
      <c r="B88" t="s">
        <v>152</v>
      </c>
      <c r="C88">
        <v>1986</v>
      </c>
      <c r="D88" t="s">
        <v>153</v>
      </c>
      <c r="E88" s="1">
        <v>2.7557870370370371E-2</v>
      </c>
      <c r="F88" s="1"/>
      <c r="G88">
        <v>87</v>
      </c>
      <c r="H88" s="1" t="str">
        <f t="shared" si="4"/>
        <v xml:space="preserve">Stefan </v>
      </c>
      <c r="I88" s="1" t="str">
        <f t="shared" si="5"/>
        <v>Jucker</v>
      </c>
      <c r="J88">
        <v>1986</v>
      </c>
      <c r="K88" t="s">
        <v>153</v>
      </c>
      <c r="L88" s="2">
        <f t="shared" si="6"/>
        <v>2381</v>
      </c>
      <c r="M88">
        <f t="shared" si="7"/>
        <v>238</v>
      </c>
    </row>
    <row r="89" spans="1:13" x14ac:dyDescent="0.3">
      <c r="A89">
        <v>88</v>
      </c>
      <c r="B89" t="s">
        <v>154</v>
      </c>
      <c r="C89">
        <v>1986</v>
      </c>
      <c r="D89" t="s">
        <v>85</v>
      </c>
      <c r="E89" s="1">
        <v>2.7743055555555556E-2</v>
      </c>
      <c r="F89" s="1"/>
      <c r="G89">
        <v>88</v>
      </c>
      <c r="H89" s="1" t="str">
        <f t="shared" si="4"/>
        <v xml:space="preserve">Olivier </v>
      </c>
      <c r="I89" s="1" t="str">
        <f t="shared" si="5"/>
        <v>Schild</v>
      </c>
      <c r="J89">
        <v>1986</v>
      </c>
      <c r="K89" t="s">
        <v>85</v>
      </c>
      <c r="L89" s="2">
        <f t="shared" si="6"/>
        <v>2397</v>
      </c>
      <c r="M89">
        <f t="shared" si="7"/>
        <v>240</v>
      </c>
    </row>
    <row r="90" spans="1:13" x14ac:dyDescent="0.3">
      <c r="A90">
        <v>89</v>
      </c>
      <c r="B90" t="s">
        <v>155</v>
      </c>
      <c r="C90">
        <v>1969</v>
      </c>
      <c r="E90" s="1">
        <v>2.7754629629629629E-2</v>
      </c>
      <c r="F90" s="1"/>
      <c r="G90">
        <v>89</v>
      </c>
      <c r="H90" s="1" t="str">
        <f t="shared" si="4"/>
        <v xml:space="preserve">Thomas </v>
      </c>
      <c r="I90" s="1" t="str">
        <f t="shared" si="5"/>
        <v>Wirz</v>
      </c>
      <c r="J90">
        <v>1969</v>
      </c>
      <c r="L90" s="2">
        <f t="shared" si="6"/>
        <v>2398</v>
      </c>
      <c r="M90">
        <f t="shared" si="7"/>
        <v>240</v>
      </c>
    </row>
    <row r="91" spans="1:13" x14ac:dyDescent="0.3">
      <c r="A91">
        <v>90</v>
      </c>
      <c r="B91" t="s">
        <v>156</v>
      </c>
      <c r="C91">
        <v>1984</v>
      </c>
      <c r="E91" s="1">
        <v>2.7870370370370372E-2</v>
      </c>
      <c r="F91" s="1"/>
      <c r="G91">
        <v>90</v>
      </c>
      <c r="H91" s="1" t="str">
        <f t="shared" si="4"/>
        <v xml:space="preserve">Enrique </v>
      </c>
      <c r="I91" s="1" t="str">
        <f t="shared" si="5"/>
        <v>Fernandez</v>
      </c>
      <c r="J91">
        <v>1984</v>
      </c>
      <c r="L91" s="2">
        <f t="shared" si="6"/>
        <v>2408</v>
      </c>
      <c r="M91">
        <f t="shared" si="7"/>
        <v>241</v>
      </c>
    </row>
    <row r="92" spans="1:13" x14ac:dyDescent="0.3">
      <c r="A92">
        <v>91</v>
      </c>
      <c r="B92" t="s">
        <v>157</v>
      </c>
      <c r="C92">
        <v>1966</v>
      </c>
      <c r="E92" s="1">
        <v>2.7893518518518519E-2</v>
      </c>
      <c r="F92" s="1"/>
      <c r="G92">
        <v>91</v>
      </c>
      <c r="H92" s="1" t="str">
        <f t="shared" si="4"/>
        <v xml:space="preserve">Patrick </v>
      </c>
      <c r="I92" s="1" t="str">
        <f t="shared" si="5"/>
        <v>Schmid</v>
      </c>
      <c r="J92">
        <v>1966</v>
      </c>
      <c r="L92" s="2">
        <f t="shared" si="6"/>
        <v>2410</v>
      </c>
      <c r="M92">
        <f t="shared" si="7"/>
        <v>241</v>
      </c>
    </row>
    <row r="93" spans="1:13" x14ac:dyDescent="0.3">
      <c r="A93">
        <v>92</v>
      </c>
      <c r="B93" t="s">
        <v>158</v>
      </c>
      <c r="C93">
        <v>1963</v>
      </c>
      <c r="D93" t="s">
        <v>159</v>
      </c>
      <c r="E93" s="1">
        <v>2.8067129629629629E-2</v>
      </c>
      <c r="F93" s="1"/>
      <c r="G93">
        <v>92</v>
      </c>
      <c r="H93" s="1" t="str">
        <f t="shared" si="4"/>
        <v xml:space="preserve">Stephan </v>
      </c>
      <c r="I93" s="1" t="str">
        <f t="shared" si="5"/>
        <v>Karlen</v>
      </c>
      <c r="J93">
        <v>1963</v>
      </c>
      <c r="K93" t="s">
        <v>159</v>
      </c>
      <c r="L93" s="2">
        <f t="shared" si="6"/>
        <v>2425</v>
      </c>
      <c r="M93">
        <f t="shared" si="7"/>
        <v>243</v>
      </c>
    </row>
    <row r="94" spans="1:13" x14ac:dyDescent="0.3">
      <c r="A94">
        <v>93</v>
      </c>
      <c r="B94" t="s">
        <v>160</v>
      </c>
      <c r="C94">
        <v>1981</v>
      </c>
      <c r="E94" s="1">
        <v>2.8194444444444446E-2</v>
      </c>
      <c r="F94" s="1"/>
      <c r="G94">
        <v>93</v>
      </c>
      <c r="H94" s="1" t="str">
        <f t="shared" si="4"/>
        <v xml:space="preserve">Frédéric </v>
      </c>
      <c r="I94" s="1" t="str">
        <f t="shared" si="5"/>
        <v>Ferreira</v>
      </c>
      <c r="J94">
        <v>1981</v>
      </c>
      <c r="L94" s="2">
        <f t="shared" si="6"/>
        <v>2436</v>
      </c>
      <c r="M94">
        <f t="shared" si="7"/>
        <v>244</v>
      </c>
    </row>
    <row r="95" spans="1:13" x14ac:dyDescent="0.3">
      <c r="A95">
        <v>94</v>
      </c>
      <c r="B95" t="s">
        <v>161</v>
      </c>
      <c r="C95">
        <v>1985</v>
      </c>
      <c r="E95" s="1">
        <v>2.8333333333333332E-2</v>
      </c>
      <c r="F95" s="1"/>
      <c r="G95">
        <v>94</v>
      </c>
      <c r="H95" s="1" t="str">
        <f t="shared" si="4"/>
        <v xml:space="preserve">Raphael </v>
      </c>
      <c r="I95" s="1" t="str">
        <f t="shared" si="5"/>
        <v>Renaud</v>
      </c>
      <c r="J95">
        <v>1985</v>
      </c>
      <c r="L95" s="2">
        <f t="shared" si="6"/>
        <v>2448</v>
      </c>
      <c r="M95">
        <f t="shared" si="7"/>
        <v>245</v>
      </c>
    </row>
    <row r="96" spans="1:13" x14ac:dyDescent="0.3">
      <c r="A96">
        <v>95</v>
      </c>
      <c r="B96" t="s">
        <v>162</v>
      </c>
      <c r="C96">
        <v>1989</v>
      </c>
      <c r="E96" s="1">
        <v>2.8495370370370369E-2</v>
      </c>
      <c r="F96" s="1"/>
      <c r="G96">
        <v>95</v>
      </c>
      <c r="H96" s="1" t="str">
        <f t="shared" si="4"/>
        <v xml:space="preserve">Stephan </v>
      </c>
      <c r="I96" s="1" t="str">
        <f t="shared" si="5"/>
        <v>Sutter</v>
      </c>
      <c r="J96">
        <v>1989</v>
      </c>
      <c r="L96" s="2">
        <f t="shared" si="6"/>
        <v>2462</v>
      </c>
      <c r="M96">
        <f t="shared" si="7"/>
        <v>246</v>
      </c>
    </row>
    <row r="97" spans="1:13" x14ac:dyDescent="0.3">
      <c r="A97">
        <v>96</v>
      </c>
      <c r="B97" t="s">
        <v>163</v>
      </c>
      <c r="C97">
        <v>1955</v>
      </c>
      <c r="D97" t="s">
        <v>164</v>
      </c>
      <c r="E97" s="1">
        <v>2.8576388888888887E-2</v>
      </c>
      <c r="F97" s="1"/>
      <c r="G97">
        <v>96</v>
      </c>
      <c r="H97" s="1" t="str">
        <f t="shared" si="4"/>
        <v xml:space="preserve">Ueli </v>
      </c>
      <c r="I97" s="1" t="str">
        <f t="shared" si="5"/>
        <v>Wäfler</v>
      </c>
      <c r="J97">
        <v>1955</v>
      </c>
      <c r="K97" t="s">
        <v>164</v>
      </c>
      <c r="L97" s="2">
        <f t="shared" si="6"/>
        <v>2469</v>
      </c>
      <c r="M97">
        <f t="shared" si="7"/>
        <v>247</v>
      </c>
    </row>
    <row r="98" spans="1:13" x14ac:dyDescent="0.3">
      <c r="A98">
        <v>97</v>
      </c>
      <c r="B98" t="s">
        <v>165</v>
      </c>
      <c r="C98">
        <v>1999</v>
      </c>
      <c r="D98" t="s">
        <v>49</v>
      </c>
      <c r="E98" s="1">
        <v>2.8680555555555556E-2</v>
      </c>
      <c r="F98" s="1"/>
      <c r="G98">
        <v>97</v>
      </c>
      <c r="H98" s="1" t="str">
        <f t="shared" si="4"/>
        <v xml:space="preserve">Björn </v>
      </c>
      <c r="I98" s="1" t="str">
        <f t="shared" si="5"/>
        <v>Müller</v>
      </c>
      <c r="J98">
        <v>1999</v>
      </c>
      <c r="K98" t="s">
        <v>49</v>
      </c>
      <c r="L98" s="2">
        <f t="shared" si="6"/>
        <v>2478</v>
      </c>
      <c r="M98">
        <f t="shared" si="7"/>
        <v>248</v>
      </c>
    </row>
    <row r="99" spans="1:13" x14ac:dyDescent="0.3">
      <c r="A99">
        <v>98</v>
      </c>
      <c r="B99" t="s">
        <v>166</v>
      </c>
      <c r="C99">
        <v>2004</v>
      </c>
      <c r="E99" s="1">
        <v>2.8819444444444446E-2</v>
      </c>
      <c r="F99" s="1"/>
      <c r="G99">
        <v>98</v>
      </c>
      <c r="H99" s="1" t="str">
        <f t="shared" si="4"/>
        <v xml:space="preserve">Arthur </v>
      </c>
      <c r="I99" s="1" t="str">
        <f t="shared" si="5"/>
        <v>Fernandes</v>
      </c>
      <c r="J99">
        <v>2004</v>
      </c>
      <c r="L99" s="2">
        <f t="shared" si="6"/>
        <v>2490</v>
      </c>
      <c r="M99">
        <f t="shared" si="7"/>
        <v>249</v>
      </c>
    </row>
    <row r="100" spans="1:13" x14ac:dyDescent="0.3">
      <c r="A100">
        <v>99</v>
      </c>
      <c r="B100" t="s">
        <v>167</v>
      </c>
      <c r="C100">
        <v>1987</v>
      </c>
      <c r="E100" s="1">
        <v>2.8842592592592593E-2</v>
      </c>
      <c r="F100" s="1"/>
      <c r="G100">
        <v>99</v>
      </c>
      <c r="H100" s="1" t="str">
        <f t="shared" si="4"/>
        <v xml:space="preserve">Thomas </v>
      </c>
      <c r="I100" s="1" t="str">
        <f t="shared" si="5"/>
        <v>Leibundgut</v>
      </c>
      <c r="J100">
        <v>1987</v>
      </c>
      <c r="L100" s="2">
        <f t="shared" si="6"/>
        <v>2492</v>
      </c>
      <c r="M100">
        <f t="shared" si="7"/>
        <v>249</v>
      </c>
    </row>
    <row r="101" spans="1:13" x14ac:dyDescent="0.3">
      <c r="A101">
        <v>100</v>
      </c>
      <c r="B101" t="s">
        <v>168</v>
      </c>
      <c r="C101">
        <v>1957</v>
      </c>
      <c r="D101" t="s">
        <v>169</v>
      </c>
      <c r="E101" s="1">
        <v>2.8935185185185185E-2</v>
      </c>
      <c r="F101" s="1"/>
      <c r="G101">
        <v>100</v>
      </c>
      <c r="H101" s="1" t="str">
        <f t="shared" si="4"/>
        <v xml:space="preserve">Heinz </v>
      </c>
      <c r="I101" s="1" t="str">
        <f t="shared" si="5"/>
        <v>Luder</v>
      </c>
      <c r="J101">
        <v>1957</v>
      </c>
      <c r="K101" t="s">
        <v>169</v>
      </c>
      <c r="L101" s="2">
        <f t="shared" si="6"/>
        <v>2500</v>
      </c>
      <c r="M101">
        <f t="shared" si="7"/>
        <v>250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paste</vt:lpstr>
      <vt:lpstr>preraw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Helfenstein  Jan</dc:creator>
  <cp:lastModifiedBy>Helfenstein  Jan</cp:lastModifiedBy>
  <dcterms:created xsi:type="dcterms:W3CDTF">2025-03-17T15:39:54Z</dcterms:created>
  <dcterms:modified xsi:type="dcterms:W3CDTF">2025-03-17T16:26:26Z</dcterms:modified>
</cp:coreProperties>
</file>