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_m\Documents\0-Code\data\pre-raw\"/>
    </mc:Choice>
  </mc:AlternateContent>
  <xr:revisionPtr revIDLastSave="0" documentId="13_ncr:1_{573690C2-C425-48B7-B1C1-0CF69CEE79CF}" xr6:coauthVersionLast="47" xr6:coauthVersionMax="47" xr10:uidLastSave="{00000000-0000-0000-0000-000000000000}"/>
  <bookViews>
    <workbookView xWindow="33975" yWindow="1875" windowWidth="21600" windowHeight="11295" activeTab="1" xr2:uid="{C1EA2E36-B3BE-45C0-B0FF-E4EF19C6BD52}"/>
  </bookViews>
  <sheets>
    <sheet name="Sheet1" sheetId="2" r:id="rId1"/>
    <sheet name="Sheet2" sheetId="5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Q3" i="2"/>
  <c r="P4" i="2"/>
  <c r="Q4" i="2"/>
  <c r="P5" i="2"/>
  <c r="Q5" i="2"/>
  <c r="P6" i="2"/>
  <c r="Q6" i="2"/>
  <c r="P7" i="2"/>
  <c r="Q7" i="2"/>
  <c r="P8" i="2"/>
  <c r="Q8" i="2"/>
  <c r="P9" i="2"/>
  <c r="Q9" i="2"/>
  <c r="P10" i="2"/>
  <c r="Q10" i="2"/>
  <c r="P11" i="2"/>
  <c r="Q11" i="2"/>
  <c r="P12" i="2"/>
  <c r="Q12" i="2"/>
  <c r="P13" i="2"/>
  <c r="Q13" i="2"/>
  <c r="P14" i="2"/>
  <c r="Q14" i="2"/>
  <c r="P15" i="2"/>
  <c r="Q15" i="2"/>
  <c r="P16" i="2"/>
  <c r="Q16" i="2"/>
  <c r="P17" i="2"/>
  <c r="Q17" i="2"/>
  <c r="P18" i="2"/>
  <c r="Q18" i="2"/>
  <c r="P19" i="2"/>
  <c r="Q19" i="2"/>
  <c r="P20" i="2"/>
  <c r="Q20" i="2"/>
  <c r="P21" i="2"/>
  <c r="Q21" i="2"/>
  <c r="P22" i="2"/>
  <c r="Q22" i="2"/>
  <c r="P23" i="2"/>
  <c r="Q23" i="2"/>
  <c r="P24" i="2"/>
  <c r="Q24" i="2"/>
  <c r="P25" i="2"/>
  <c r="Q25" i="2"/>
  <c r="P26" i="2"/>
  <c r="Q26" i="2"/>
  <c r="P27" i="2"/>
  <c r="Q27" i="2"/>
  <c r="P28" i="2"/>
  <c r="Q28" i="2"/>
  <c r="P29" i="2"/>
  <c r="Q29" i="2"/>
  <c r="P30" i="2"/>
  <c r="Q30" i="2"/>
  <c r="P31" i="2"/>
  <c r="Q31" i="2"/>
  <c r="P32" i="2"/>
  <c r="Q32" i="2"/>
  <c r="P33" i="2"/>
  <c r="Q33" i="2"/>
  <c r="P34" i="2"/>
  <c r="Q34" i="2"/>
  <c r="P35" i="2"/>
  <c r="Q35" i="2"/>
  <c r="P36" i="2"/>
  <c r="Q36" i="2"/>
  <c r="P37" i="2"/>
  <c r="Q37" i="2"/>
  <c r="P38" i="2"/>
  <c r="Q38" i="2"/>
  <c r="P39" i="2"/>
  <c r="Q39" i="2"/>
  <c r="P40" i="2"/>
  <c r="Q40" i="2"/>
  <c r="P41" i="2"/>
  <c r="Q41" i="2"/>
  <c r="P42" i="2"/>
  <c r="Q42" i="2"/>
  <c r="P43" i="2"/>
  <c r="Q43" i="2"/>
  <c r="P44" i="2"/>
  <c r="Q44" i="2"/>
  <c r="P45" i="2"/>
  <c r="Q45" i="2"/>
  <c r="P46" i="2"/>
  <c r="Q46" i="2"/>
  <c r="P47" i="2"/>
  <c r="Q47" i="2"/>
  <c r="P48" i="2"/>
  <c r="Q48" i="2"/>
  <c r="P49" i="2"/>
  <c r="Q49" i="2"/>
  <c r="P50" i="2"/>
  <c r="Q50" i="2"/>
  <c r="P51" i="2"/>
  <c r="Q51" i="2"/>
  <c r="P52" i="2"/>
  <c r="Q52" i="2"/>
  <c r="P53" i="2"/>
  <c r="Q53" i="2"/>
  <c r="P54" i="2"/>
  <c r="Q54" i="2"/>
  <c r="P55" i="2"/>
  <c r="Q55" i="2"/>
  <c r="P56" i="2"/>
  <c r="Q56" i="2"/>
  <c r="P57" i="2"/>
  <c r="Q57" i="2"/>
  <c r="P58" i="2"/>
  <c r="Q58" i="2"/>
  <c r="P59" i="2"/>
  <c r="Q59" i="2"/>
  <c r="P60" i="2"/>
  <c r="Q60" i="2"/>
  <c r="P61" i="2"/>
  <c r="Q61" i="2"/>
  <c r="P62" i="2"/>
  <c r="Q62" i="2"/>
  <c r="P63" i="2"/>
  <c r="Q63" i="2"/>
  <c r="P64" i="2"/>
  <c r="Q64" i="2"/>
  <c r="P65" i="2"/>
  <c r="Q65" i="2"/>
  <c r="P66" i="2"/>
  <c r="Q66" i="2"/>
  <c r="P67" i="2"/>
  <c r="Q67" i="2"/>
  <c r="P68" i="2"/>
  <c r="Q68" i="2"/>
  <c r="P69" i="2"/>
  <c r="Q69" i="2"/>
  <c r="P70" i="2"/>
  <c r="Q70" i="2"/>
  <c r="P71" i="2"/>
  <c r="Q71" i="2"/>
  <c r="P72" i="2"/>
  <c r="Q72" i="2"/>
  <c r="P73" i="2"/>
  <c r="Q73" i="2"/>
  <c r="P74" i="2"/>
  <c r="Q74" i="2"/>
  <c r="P75" i="2"/>
  <c r="Q75" i="2"/>
  <c r="P76" i="2"/>
  <c r="Q76" i="2"/>
  <c r="P77" i="2"/>
  <c r="Q77" i="2"/>
  <c r="P78" i="2"/>
  <c r="Q78" i="2"/>
  <c r="P79" i="2"/>
  <c r="Q79" i="2"/>
  <c r="P80" i="2"/>
  <c r="Q80" i="2"/>
  <c r="P81" i="2"/>
  <c r="Q81" i="2"/>
  <c r="P82" i="2"/>
  <c r="Q82" i="2"/>
  <c r="P83" i="2"/>
  <c r="Q83" i="2"/>
  <c r="P84" i="2"/>
  <c r="Q84" i="2"/>
  <c r="P85" i="2"/>
  <c r="Q85" i="2"/>
  <c r="P86" i="2"/>
  <c r="Q86" i="2"/>
  <c r="P87" i="2"/>
  <c r="Q87" i="2"/>
  <c r="P88" i="2"/>
  <c r="Q88" i="2"/>
  <c r="P89" i="2"/>
  <c r="Q89" i="2"/>
  <c r="P90" i="2"/>
  <c r="Q90" i="2"/>
  <c r="P91" i="2"/>
  <c r="Q91" i="2"/>
  <c r="P92" i="2"/>
  <c r="Q92" i="2"/>
  <c r="P93" i="2"/>
  <c r="Q93" i="2"/>
  <c r="P94" i="2"/>
  <c r="Q94" i="2"/>
  <c r="P95" i="2"/>
  <c r="Q95" i="2"/>
  <c r="P96" i="2"/>
  <c r="Q96" i="2"/>
  <c r="P97" i="2"/>
  <c r="Q97" i="2"/>
  <c r="P98" i="2"/>
  <c r="Q98" i="2"/>
  <c r="P99" i="2"/>
  <c r="Q99" i="2"/>
  <c r="P100" i="2"/>
  <c r="Q100" i="2"/>
  <c r="P101" i="2"/>
  <c r="Q101" i="2"/>
  <c r="Q2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2" i="2"/>
  <c r="M3" i="2"/>
  <c r="N3" i="2" s="1"/>
  <c r="M4" i="2"/>
  <c r="N4" i="2" s="1"/>
  <c r="M5" i="2"/>
  <c r="N5" i="2" s="1"/>
  <c r="M6" i="2"/>
  <c r="N6" i="2" s="1"/>
  <c r="M7" i="2"/>
  <c r="N7" i="2" s="1"/>
  <c r="M8" i="2"/>
  <c r="N8" i="2" s="1"/>
  <c r="M9" i="2"/>
  <c r="N9" i="2" s="1"/>
  <c r="M10" i="2"/>
  <c r="N10" i="2" s="1"/>
  <c r="M11" i="2"/>
  <c r="N11" i="2" s="1"/>
  <c r="M12" i="2"/>
  <c r="N12" i="2" s="1"/>
  <c r="M13" i="2"/>
  <c r="N13" i="2" s="1"/>
  <c r="M14" i="2"/>
  <c r="N14" i="2" s="1"/>
  <c r="M15" i="2"/>
  <c r="N15" i="2" s="1"/>
  <c r="M16" i="2"/>
  <c r="N16" i="2" s="1"/>
  <c r="M17" i="2"/>
  <c r="N17" i="2" s="1"/>
  <c r="M18" i="2"/>
  <c r="N18" i="2" s="1"/>
  <c r="M19" i="2"/>
  <c r="N19" i="2" s="1"/>
  <c r="M20" i="2"/>
  <c r="N20" i="2" s="1"/>
  <c r="M21" i="2"/>
  <c r="N21" i="2" s="1"/>
  <c r="M22" i="2"/>
  <c r="N22" i="2" s="1"/>
  <c r="M23" i="2"/>
  <c r="N23" i="2" s="1"/>
  <c r="M24" i="2"/>
  <c r="N24" i="2" s="1"/>
  <c r="M25" i="2"/>
  <c r="N25" i="2" s="1"/>
  <c r="M26" i="2"/>
  <c r="N26" i="2" s="1"/>
  <c r="M27" i="2"/>
  <c r="N27" i="2" s="1"/>
  <c r="M28" i="2"/>
  <c r="N28" i="2" s="1"/>
  <c r="M29" i="2"/>
  <c r="N29" i="2" s="1"/>
  <c r="M30" i="2"/>
  <c r="N30" i="2" s="1"/>
  <c r="M31" i="2"/>
  <c r="N31" i="2" s="1"/>
  <c r="M32" i="2"/>
  <c r="N32" i="2" s="1"/>
  <c r="M33" i="2"/>
  <c r="N33" i="2" s="1"/>
  <c r="M34" i="2"/>
  <c r="N34" i="2" s="1"/>
  <c r="M35" i="2"/>
  <c r="N35" i="2" s="1"/>
  <c r="M36" i="2"/>
  <c r="N36" i="2" s="1"/>
  <c r="M37" i="2"/>
  <c r="N37" i="2" s="1"/>
  <c r="M38" i="2"/>
  <c r="N38" i="2" s="1"/>
  <c r="M39" i="2"/>
  <c r="N39" i="2" s="1"/>
  <c r="M40" i="2"/>
  <c r="N40" i="2" s="1"/>
  <c r="M41" i="2"/>
  <c r="N41" i="2" s="1"/>
  <c r="M42" i="2"/>
  <c r="N42" i="2" s="1"/>
  <c r="M43" i="2"/>
  <c r="N43" i="2" s="1"/>
  <c r="M44" i="2"/>
  <c r="N44" i="2" s="1"/>
  <c r="M45" i="2"/>
  <c r="N45" i="2" s="1"/>
  <c r="M46" i="2"/>
  <c r="N46" i="2" s="1"/>
  <c r="M47" i="2"/>
  <c r="N47" i="2" s="1"/>
  <c r="M48" i="2"/>
  <c r="N48" i="2" s="1"/>
  <c r="M49" i="2"/>
  <c r="N49" i="2" s="1"/>
  <c r="M50" i="2"/>
  <c r="N50" i="2" s="1"/>
  <c r="M51" i="2"/>
  <c r="N51" i="2" s="1"/>
  <c r="M52" i="2"/>
  <c r="N52" i="2" s="1"/>
  <c r="M53" i="2"/>
  <c r="N53" i="2" s="1"/>
  <c r="M54" i="2"/>
  <c r="N54" i="2" s="1"/>
  <c r="M55" i="2"/>
  <c r="N55" i="2" s="1"/>
  <c r="M56" i="2"/>
  <c r="N56" i="2" s="1"/>
  <c r="M57" i="2"/>
  <c r="N57" i="2" s="1"/>
  <c r="M58" i="2"/>
  <c r="N58" i="2" s="1"/>
  <c r="M59" i="2"/>
  <c r="N59" i="2" s="1"/>
  <c r="M60" i="2"/>
  <c r="N60" i="2" s="1"/>
  <c r="M61" i="2"/>
  <c r="N61" i="2" s="1"/>
  <c r="M62" i="2"/>
  <c r="N62" i="2" s="1"/>
  <c r="M63" i="2"/>
  <c r="N63" i="2" s="1"/>
  <c r="M64" i="2"/>
  <c r="N64" i="2" s="1"/>
  <c r="M65" i="2"/>
  <c r="N65" i="2" s="1"/>
  <c r="M66" i="2"/>
  <c r="N66" i="2" s="1"/>
  <c r="M67" i="2"/>
  <c r="N67" i="2" s="1"/>
  <c r="M68" i="2"/>
  <c r="N68" i="2" s="1"/>
  <c r="M69" i="2"/>
  <c r="N69" i="2" s="1"/>
  <c r="M70" i="2"/>
  <c r="N70" i="2" s="1"/>
  <c r="M71" i="2"/>
  <c r="N71" i="2" s="1"/>
  <c r="M72" i="2"/>
  <c r="N72" i="2" s="1"/>
  <c r="M73" i="2"/>
  <c r="N73" i="2" s="1"/>
  <c r="M74" i="2"/>
  <c r="N74" i="2" s="1"/>
  <c r="M75" i="2"/>
  <c r="N75" i="2" s="1"/>
  <c r="M76" i="2"/>
  <c r="N76" i="2" s="1"/>
  <c r="M77" i="2"/>
  <c r="N77" i="2" s="1"/>
  <c r="M78" i="2"/>
  <c r="N78" i="2" s="1"/>
  <c r="M79" i="2"/>
  <c r="N79" i="2" s="1"/>
  <c r="M80" i="2"/>
  <c r="N80" i="2" s="1"/>
  <c r="M81" i="2"/>
  <c r="N81" i="2" s="1"/>
  <c r="M82" i="2"/>
  <c r="N82" i="2" s="1"/>
  <c r="M83" i="2"/>
  <c r="N83" i="2" s="1"/>
  <c r="M84" i="2"/>
  <c r="N84" i="2" s="1"/>
  <c r="M85" i="2"/>
  <c r="N85" i="2" s="1"/>
  <c r="M86" i="2"/>
  <c r="N86" i="2" s="1"/>
  <c r="M87" i="2"/>
  <c r="N87" i="2" s="1"/>
  <c r="M88" i="2"/>
  <c r="N88" i="2" s="1"/>
  <c r="M89" i="2"/>
  <c r="N89" i="2" s="1"/>
  <c r="M90" i="2"/>
  <c r="N90" i="2" s="1"/>
  <c r="M91" i="2"/>
  <c r="N91" i="2" s="1"/>
  <c r="M92" i="2"/>
  <c r="N92" i="2" s="1"/>
  <c r="M93" i="2"/>
  <c r="N93" i="2" s="1"/>
  <c r="M94" i="2"/>
  <c r="N94" i="2" s="1"/>
  <c r="M95" i="2"/>
  <c r="N95" i="2" s="1"/>
  <c r="M96" i="2"/>
  <c r="N96" i="2" s="1"/>
  <c r="M97" i="2"/>
  <c r="N97" i="2" s="1"/>
  <c r="M98" i="2"/>
  <c r="N98" i="2" s="1"/>
  <c r="M99" i="2"/>
  <c r="N99" i="2" s="1"/>
  <c r="M100" i="2"/>
  <c r="N100" i="2" s="1"/>
  <c r="M101" i="2"/>
  <c r="N101" i="2" s="1"/>
  <c r="M2" i="2"/>
  <c r="N2" i="2" s="1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2" i="2"/>
</calcChain>
</file>

<file path=xl/sharedStrings.xml><?xml version="1.0" encoding="utf-8"?>
<sst xmlns="http://schemas.openxmlformats.org/spreadsheetml/2006/main" count="1298" uniqueCount="553">
  <si>
    <t>Rang</t>
  </si>
  <si>
    <t>Nachname Vorname</t>
  </si>
  <si>
    <t>Jg</t>
  </si>
  <si>
    <t>Nat</t>
  </si>
  <si>
    <t>Ort</t>
  </si>
  <si>
    <t>Verein</t>
  </si>
  <si>
    <t>Zeit</t>
  </si>
  <si>
    <t>min/km</t>
  </si>
  <si>
    <t>Lobalu Dominic</t>
  </si>
  <si>
    <t>SSD</t>
  </si>
  <si>
    <t>St. Gallen</t>
  </si>
  <si>
    <t>LC Brühl Leichtathletik</t>
  </si>
  <si>
    <t>Morgan Le Guen</t>
  </si>
  <si>
    <t>SUI</t>
  </si>
  <si>
    <t>Annemasse</t>
  </si>
  <si>
    <t>Stade Genève</t>
  </si>
  <si>
    <t>Rüttimann Eric</t>
  </si>
  <si>
    <t>Untereggen</t>
  </si>
  <si>
    <t>LC Uster</t>
  </si>
  <si>
    <t>Salam Ali Abdi</t>
  </si>
  <si>
    <t>SOM</t>
  </si>
  <si>
    <t>Zürich</t>
  </si>
  <si>
    <t>Lehmann Adrian</t>
  </si>
  <si>
    <t>Langenthal</t>
  </si>
  <si>
    <t>LV Langenthal</t>
  </si>
  <si>
    <t>Weldezghi Seare</t>
  </si>
  <si>
    <t>ERI</t>
  </si>
  <si>
    <t>LAC TV Unterstrass</t>
  </si>
  <si>
    <t>Noti Luca</t>
  </si>
  <si>
    <t>Bern</t>
  </si>
  <si>
    <t>STB Leichtathletik</t>
  </si>
  <si>
    <t>Amaniel Habtom</t>
  </si>
  <si>
    <t>Aigle</t>
  </si>
  <si>
    <t>Team ATLET - VOLODALEN</t>
  </si>
  <si>
    <t>Schönenberger Urs</t>
  </si>
  <si>
    <t>LC Regensdorf</t>
  </si>
  <si>
    <t>Cachelin Guillaume</t>
  </si>
  <si>
    <t>Petit-Lancy</t>
  </si>
  <si>
    <t>Bussy Wondimu</t>
  </si>
  <si>
    <t>Genève</t>
  </si>
  <si>
    <t>Invia</t>
  </si>
  <si>
    <t>Christen Maurice Etienne</t>
  </si>
  <si>
    <t>Lädermann Léo</t>
  </si>
  <si>
    <t>Carouge GE</t>
  </si>
  <si>
    <t>CHP Genève</t>
  </si>
  <si>
    <t>Engelhardt Adriano</t>
  </si>
  <si>
    <t>Gland</t>
  </si>
  <si>
    <t>KeForma.team</t>
  </si>
  <si>
    <t>Pellaz Loris</t>
  </si>
  <si>
    <t>Granges VS</t>
  </si>
  <si>
    <t>Ehrle Lukas</t>
  </si>
  <si>
    <t>GER</t>
  </si>
  <si>
    <t>Villingen</t>
  </si>
  <si>
    <t>LG Brandenkopf</t>
  </si>
  <si>
    <t>Gächter Janis</t>
  </si>
  <si>
    <t>Niederurnen</t>
  </si>
  <si>
    <t>Lussy Florian</t>
  </si>
  <si>
    <t>Oberdorf NW</t>
  </si>
  <si>
    <t>Hille Erik</t>
  </si>
  <si>
    <t>Nabburg</t>
  </si>
  <si>
    <t>LT Haspa Marathon Hamburg</t>
  </si>
  <si>
    <t>Irarragorri Camilo</t>
  </si>
  <si>
    <t>Herrliberg</t>
  </si>
  <si>
    <t>SSC Athletics</t>
  </si>
  <si>
    <t>Keller David</t>
  </si>
  <si>
    <t>Dietikon</t>
  </si>
  <si>
    <t>TV Oerlikon</t>
  </si>
  <si>
    <t>Herren Dominik</t>
  </si>
  <si>
    <t>Liebefeld</t>
  </si>
  <si>
    <t>Coendet Andy</t>
  </si>
  <si>
    <t>Bernex</t>
  </si>
  <si>
    <t>Renner Roman</t>
  </si>
  <si>
    <t>Meierskappel</t>
  </si>
  <si>
    <t>TSV 2001 Rotkreuz</t>
  </si>
  <si>
    <t>Leboeuf François</t>
  </si>
  <si>
    <t>CABV Martigny</t>
  </si>
  <si>
    <t>Schaub Jonas</t>
  </si>
  <si>
    <t>Benglen</t>
  </si>
  <si>
    <t>TV Maur</t>
  </si>
  <si>
    <t>Wenk Stephan</t>
  </si>
  <si>
    <t>Bertschikon Gossau</t>
  </si>
  <si>
    <t>Christen Julien</t>
  </si>
  <si>
    <t>Kirchlindach</t>
  </si>
  <si>
    <t>Besse Jean-Claude</t>
  </si>
  <si>
    <t>Mennet Robin</t>
  </si>
  <si>
    <t>Rheinfelden</t>
  </si>
  <si>
    <t>LC Basel</t>
  </si>
  <si>
    <t>Schönleber Jannis</t>
  </si>
  <si>
    <t>Lupsingen</t>
  </si>
  <si>
    <t>Marani Tommaso</t>
  </si>
  <si>
    <t>Viganello</t>
  </si>
  <si>
    <t>SAL Società Atletica Lugano</t>
  </si>
  <si>
    <t>Huldi Samuel</t>
  </si>
  <si>
    <t>Freitag Nino</t>
  </si>
  <si>
    <t>Winterthur</t>
  </si>
  <si>
    <t>LV Winterthur</t>
  </si>
  <si>
    <t>Alagona Andrea</t>
  </si>
  <si>
    <t>Locarno</t>
  </si>
  <si>
    <t>Da Silva Miguel</t>
  </si>
  <si>
    <t>Thônex</t>
  </si>
  <si>
    <t>RCB Collonge-Bellerive</t>
  </si>
  <si>
    <t>Gmür Chrigi</t>
  </si>
  <si>
    <t>Spiegel b. Bern</t>
  </si>
  <si>
    <t>LC Rapperswil-Jona</t>
  </si>
  <si>
    <t>Kaufmann Loris</t>
  </si>
  <si>
    <t>Dürnten</t>
  </si>
  <si>
    <t>Ulrich Stefan</t>
  </si>
  <si>
    <t>Regensdorf</t>
  </si>
  <si>
    <t>Monney Sylvain</t>
  </si>
  <si>
    <t>Corpataux-Magneden</t>
  </si>
  <si>
    <t>CAG Farvagny</t>
  </si>
  <si>
    <t>Amstutz Timon</t>
  </si>
  <si>
    <t>Hindelbank</t>
  </si>
  <si>
    <t>TV Länggasse</t>
  </si>
  <si>
    <t>Marti Mickael</t>
  </si>
  <si>
    <t>Sonceboz-Sombeval</t>
  </si>
  <si>
    <t>TIP-TOP Swiss Polysport Macolin</t>
  </si>
  <si>
    <t>Niederhauser Thibault</t>
  </si>
  <si>
    <t>Château-d'Oex</t>
  </si>
  <si>
    <t>Chalus François</t>
  </si>
  <si>
    <t>Hutterli Loris</t>
  </si>
  <si>
    <t>UNISPORTS recruiting</t>
  </si>
  <si>
    <t>Benz Fabian</t>
  </si>
  <si>
    <t>Berneck</t>
  </si>
  <si>
    <t>MILA Rheintal</t>
  </si>
  <si>
    <t>Rotzetter Marc</t>
  </si>
  <si>
    <t>Rechthalten</t>
  </si>
  <si>
    <t>Athletic Team Rechthalten</t>
  </si>
  <si>
    <t>Jauch Manfred</t>
  </si>
  <si>
    <t>Altdorf</t>
  </si>
  <si>
    <t>LC Altdorf</t>
  </si>
  <si>
    <t>Gossauer Jens-Michael</t>
  </si>
  <si>
    <t>Jona</t>
  </si>
  <si>
    <t>Baggenstos Tobias</t>
  </si>
  <si>
    <t>Gersau</t>
  </si>
  <si>
    <t>Brooks Trail Runners</t>
  </si>
  <si>
    <t>Josef Raphael</t>
  </si>
  <si>
    <t>Bronschhofen</t>
  </si>
  <si>
    <t>Torche Julien</t>
  </si>
  <si>
    <t>Tentlingen</t>
  </si>
  <si>
    <t>SA Bulle</t>
  </si>
  <si>
    <t>Pinto Ricardo</t>
  </si>
  <si>
    <t>Veyrier</t>
  </si>
  <si>
    <t>Gilliéron Clément</t>
  </si>
  <si>
    <t>Cossonay</t>
  </si>
  <si>
    <t>Athle.ch Club</t>
  </si>
  <si>
    <t>Marti Sven</t>
  </si>
  <si>
    <t>Buochs</t>
  </si>
  <si>
    <t>LA Nidwalden</t>
  </si>
  <si>
    <t>Leugger Flurin</t>
  </si>
  <si>
    <t>Schnider Lars</t>
  </si>
  <si>
    <t>Lohn-Ammannsegg</t>
  </si>
  <si>
    <t>STB</t>
  </si>
  <si>
    <t>Rüttimann Cyrill</t>
  </si>
  <si>
    <t>Stäfa</t>
  </si>
  <si>
    <t>Meyer Cedric</t>
  </si>
  <si>
    <t>Galgenen</t>
  </si>
  <si>
    <t>TSV Galgenen</t>
  </si>
  <si>
    <t>Knaus David</t>
  </si>
  <si>
    <t>Mayer Rey Despenzia Samuel</t>
  </si>
  <si>
    <t>Birmenstorf</t>
  </si>
  <si>
    <t>Arnold Philipp</t>
  </si>
  <si>
    <t>Cham</t>
  </si>
  <si>
    <t>LC Zürich</t>
  </si>
  <si>
    <t>Castiglioni Luca</t>
  </si>
  <si>
    <t>Thalwil</t>
  </si>
  <si>
    <t>Kostyuchenko Nikita</t>
  </si>
  <si>
    <t>Lufingen</t>
  </si>
  <si>
    <t>Stuker Leo</t>
  </si>
  <si>
    <t>Werder Dario</t>
  </si>
  <si>
    <t>Frauenfeld</t>
  </si>
  <si>
    <t>LC Frauenfeld</t>
  </si>
  <si>
    <t>Ott Marcel</t>
  </si>
  <si>
    <t>Wallisellen</t>
  </si>
  <si>
    <t>Gerber Tobias</t>
  </si>
  <si>
    <t>Renner Philipp</t>
  </si>
  <si>
    <t>LC Luzern</t>
  </si>
  <si>
    <t>Maret Clément</t>
  </si>
  <si>
    <t>Fully</t>
  </si>
  <si>
    <t>Maurer Paul</t>
  </si>
  <si>
    <t>AVG</t>
  </si>
  <si>
    <t>Oliver Rubén</t>
  </si>
  <si>
    <t>Schönbächler Emanuel</t>
  </si>
  <si>
    <t>Küssnacht</t>
  </si>
  <si>
    <t>STV Küssnacht</t>
  </si>
  <si>
    <t>Schönenberger Simon</t>
  </si>
  <si>
    <t>Marquart Artho</t>
  </si>
  <si>
    <t>Aathal-Seegräben</t>
  </si>
  <si>
    <t>Wolfensberger Simon</t>
  </si>
  <si>
    <t>Morgenthaler Joël</t>
  </si>
  <si>
    <t>Waltenschwil</t>
  </si>
  <si>
    <t>Parfuss Florin</t>
  </si>
  <si>
    <t>Wiederkehr Fabian</t>
  </si>
  <si>
    <t>Wil SG</t>
  </si>
  <si>
    <t>Popea Théotime</t>
  </si>
  <si>
    <t>Lutry</t>
  </si>
  <si>
    <t>AthleTEAM Lutry / Cris Run</t>
  </si>
  <si>
    <t>Lagerström Mark</t>
  </si>
  <si>
    <t>Dübendorf</t>
  </si>
  <si>
    <t>SV WIEDIKON</t>
  </si>
  <si>
    <t>Schober Rafael</t>
  </si>
  <si>
    <t>Bützberg</t>
  </si>
  <si>
    <t>LV Langenthal / LTC</t>
  </si>
  <si>
    <t>Fischer Christian</t>
  </si>
  <si>
    <t>Aarberg</t>
  </si>
  <si>
    <t>LCA Bärn</t>
  </si>
  <si>
    <t>Marquetant Timo</t>
  </si>
  <si>
    <t>Beringen</t>
  </si>
  <si>
    <t>LC Schaffhausen</t>
  </si>
  <si>
    <t>Leneuf Louis</t>
  </si>
  <si>
    <t>Blonay</t>
  </si>
  <si>
    <t>Schneeberger Manuel</t>
  </si>
  <si>
    <t>Pedrazzoli Thomas</t>
  </si>
  <si>
    <t>Wisler Thomas</t>
  </si>
  <si>
    <t>Morges</t>
  </si>
  <si>
    <t>Kaufmann Cyrill</t>
  </si>
  <si>
    <t>Obfelden</t>
  </si>
  <si>
    <t>LV Albis</t>
  </si>
  <si>
    <t>Bischofberger Emil</t>
  </si>
  <si>
    <t>Horgen</t>
  </si>
  <si>
    <t>Bruderer Silas</t>
  </si>
  <si>
    <t>Egnach</t>
  </si>
  <si>
    <t>LAR Bischofszell</t>
  </si>
  <si>
    <t>Schmidhalter Joël</t>
  </si>
  <si>
    <t>Glis</t>
  </si>
  <si>
    <t>Ummel Dominik</t>
  </si>
  <si>
    <t>Biglen</t>
  </si>
  <si>
    <t>Leibundgut Armin</t>
  </si>
  <si>
    <t>Melchnau</t>
  </si>
  <si>
    <t>Freund Jonas</t>
  </si>
  <si>
    <t>Vilters</t>
  </si>
  <si>
    <t>TG Ost</t>
  </si>
  <si>
    <t>Bohren Yves</t>
  </si>
  <si>
    <t>Kleinandelfingen</t>
  </si>
  <si>
    <t>LAC TV Unterstrass / Medbase Runner</t>
  </si>
  <si>
    <t>Länzlinger Lorin</t>
  </si>
  <si>
    <t>Mosnang</t>
  </si>
  <si>
    <t>LR Mosnang</t>
  </si>
  <si>
    <t>Marty Stefan</t>
  </si>
  <si>
    <t>Steinen</t>
  </si>
  <si>
    <t>smrun / crespo.ch / erox</t>
  </si>
  <si>
    <t>Aase Njaal</t>
  </si>
  <si>
    <t>Hüntwangen</t>
  </si>
  <si>
    <t>LC Rafzerfeld</t>
  </si>
  <si>
    <t>Alcala Adrià</t>
  </si>
  <si>
    <t>Aeschlimann Gilles</t>
  </si>
  <si>
    <t>Le Locle</t>
  </si>
  <si>
    <t>Blättler Remo</t>
  </si>
  <si>
    <t>Stans</t>
  </si>
  <si>
    <t>Albuquerque Bruno</t>
  </si>
  <si>
    <t>Epautheyres</t>
  </si>
  <si>
    <t>USY / Trilogie Sport</t>
  </si>
  <si>
    <t>Kloter Marc</t>
  </si>
  <si>
    <t>Wettingen</t>
  </si>
  <si>
    <t>Triathlon Club Baden</t>
  </si>
  <si>
    <t>Jurt Mario</t>
  </si>
  <si>
    <t>Faulensee</t>
  </si>
  <si>
    <t>LC Scharnachtal</t>
  </si>
  <si>
    <t>Kohler Christof</t>
  </si>
  <si>
    <t>Wasen im Emmental</t>
  </si>
  <si>
    <t>rank-sm</t>
  </si>
  <si>
    <t>lastname firstname</t>
  </si>
  <si>
    <t>yearofbirth</t>
  </si>
  <si>
    <t>residence</t>
  </si>
  <si>
    <t>club</t>
  </si>
  <si>
    <t>time</t>
  </si>
  <si>
    <t>time_s</t>
  </si>
  <si>
    <t>lastname</t>
  </si>
  <si>
    <t>firstname</t>
  </si>
  <si>
    <t>firstname2</t>
  </si>
  <si>
    <t>firstname3</t>
  </si>
  <si>
    <t>Morgan</t>
  </si>
  <si>
    <t>Rüttimann</t>
  </si>
  <si>
    <t>Lehmann</t>
  </si>
  <si>
    <t>Noti</t>
  </si>
  <si>
    <t>Schönenberger</t>
  </si>
  <si>
    <t>Cachelin</t>
  </si>
  <si>
    <t>Bussy</t>
  </si>
  <si>
    <t>Christen</t>
  </si>
  <si>
    <t>Lädermann</t>
  </si>
  <si>
    <t>Engelhardt</t>
  </si>
  <si>
    <t>Pellaz</t>
  </si>
  <si>
    <t>Gächter</t>
  </si>
  <si>
    <t>Lussy</t>
  </si>
  <si>
    <t>Irarragorri</t>
  </si>
  <si>
    <t>Keller</t>
  </si>
  <si>
    <t>Herren</t>
  </si>
  <si>
    <t>Coendet</t>
  </si>
  <si>
    <t>Renner</t>
  </si>
  <si>
    <t>Leboeuf</t>
  </si>
  <si>
    <t>Schaub</t>
  </si>
  <si>
    <t>Wenk</t>
  </si>
  <si>
    <t>Besse</t>
  </si>
  <si>
    <t>Mennet</t>
  </si>
  <si>
    <t>Schönleber</t>
  </si>
  <si>
    <t>Marani</t>
  </si>
  <si>
    <t>Huldi</t>
  </si>
  <si>
    <t>Freitag</t>
  </si>
  <si>
    <t>Alagona</t>
  </si>
  <si>
    <t>Da</t>
  </si>
  <si>
    <t>Gmür</t>
  </si>
  <si>
    <t>Kaufmann</t>
  </si>
  <si>
    <t>Ulrich</t>
  </si>
  <si>
    <t>Monney</t>
  </si>
  <si>
    <t>Amstutz</t>
  </si>
  <si>
    <t>Marti</t>
  </si>
  <si>
    <t>Niederhauser</t>
  </si>
  <si>
    <t>Chalus</t>
  </si>
  <si>
    <t>Hutterli</t>
  </si>
  <si>
    <t>Benz</t>
  </si>
  <si>
    <t>Rotzetter</t>
  </si>
  <si>
    <t>Jauch</t>
  </si>
  <si>
    <t>Gossauer</t>
  </si>
  <si>
    <t>Baggenstos</t>
  </si>
  <si>
    <t>Josef</t>
  </si>
  <si>
    <t>Torche</t>
  </si>
  <si>
    <t>Pinto</t>
  </si>
  <si>
    <t>Gilliéron</t>
  </si>
  <si>
    <t>Leugger</t>
  </si>
  <si>
    <t>Schnider</t>
  </si>
  <si>
    <t>Meyer</t>
  </si>
  <si>
    <t>Knaus</t>
  </si>
  <si>
    <t>Mayer</t>
  </si>
  <si>
    <t>Arnold</t>
  </si>
  <si>
    <t>Castiglioni</t>
  </si>
  <si>
    <t>Kostyuchenko</t>
  </si>
  <si>
    <t>Stuker</t>
  </si>
  <si>
    <t>Werder</t>
  </si>
  <si>
    <t>Ott</t>
  </si>
  <si>
    <t>Gerber</t>
  </si>
  <si>
    <t>Maret</t>
  </si>
  <si>
    <t>Maurer</t>
  </si>
  <si>
    <t>Oliver</t>
  </si>
  <si>
    <t>Schönbächler</t>
  </si>
  <si>
    <t>Marquart</t>
  </si>
  <si>
    <t>Wolfensberger</t>
  </si>
  <si>
    <t>Morgenthaler</t>
  </si>
  <si>
    <t>Parfuss</t>
  </si>
  <si>
    <t>Wiederkehr</t>
  </si>
  <si>
    <t>Popea</t>
  </si>
  <si>
    <t>Lagerström</t>
  </si>
  <si>
    <t>Schober</t>
  </si>
  <si>
    <t>Fischer</t>
  </si>
  <si>
    <t>Marquetant</t>
  </si>
  <si>
    <t>Leneuf</t>
  </si>
  <si>
    <t>Schneeberger</t>
  </si>
  <si>
    <t>Pedrazzoli</t>
  </si>
  <si>
    <t>Wisler</t>
  </si>
  <si>
    <t>Bischofberger</t>
  </si>
  <si>
    <t>Bruderer</t>
  </si>
  <si>
    <t>Schmidhalter</t>
  </si>
  <si>
    <t>Ummel</t>
  </si>
  <si>
    <t>Leibundgut</t>
  </si>
  <si>
    <t>Freund</t>
  </si>
  <si>
    <t>Bohren</t>
  </si>
  <si>
    <t>Länzlinger</t>
  </si>
  <si>
    <t>Marty</t>
  </si>
  <si>
    <t>Aase</t>
  </si>
  <si>
    <t>Alcala</t>
  </si>
  <si>
    <t>Aeschlimann</t>
  </si>
  <si>
    <t>Blättler</t>
  </si>
  <si>
    <t>Albuquerque</t>
  </si>
  <si>
    <t>Kloter</t>
  </si>
  <si>
    <t>Jurt</t>
  </si>
  <si>
    <t>Kohler</t>
  </si>
  <si>
    <t>Le-Guen</t>
  </si>
  <si>
    <t>Eric</t>
  </si>
  <si>
    <t>Adrian</t>
  </si>
  <si>
    <t>Luca</t>
  </si>
  <si>
    <t>Urs</t>
  </si>
  <si>
    <t>Guillaume</t>
  </si>
  <si>
    <t>Wondimu</t>
  </si>
  <si>
    <t>Maurice-Etienne</t>
  </si>
  <si>
    <t>Léo</t>
  </si>
  <si>
    <t>Adriano</t>
  </si>
  <si>
    <t>Loris</t>
  </si>
  <si>
    <t>Janis</t>
  </si>
  <si>
    <t>Florian</t>
  </si>
  <si>
    <t>Camilo</t>
  </si>
  <si>
    <t>David</t>
  </si>
  <si>
    <t>Dominik</t>
  </si>
  <si>
    <t>Andy</t>
  </si>
  <si>
    <t>Roman</t>
  </si>
  <si>
    <t>François</t>
  </si>
  <si>
    <t>Jonas</t>
  </si>
  <si>
    <t>Stephan</t>
  </si>
  <si>
    <t>Julien</t>
  </si>
  <si>
    <t>Jean-Claude</t>
  </si>
  <si>
    <t>Robin</t>
  </si>
  <si>
    <t>Jannis</t>
  </si>
  <si>
    <t>Tommaso</t>
  </si>
  <si>
    <t>Samuel</t>
  </si>
  <si>
    <t>Nino</t>
  </si>
  <si>
    <t>Andrea</t>
  </si>
  <si>
    <t>Silva-Miguel</t>
  </si>
  <si>
    <t>Chrigi</t>
  </si>
  <si>
    <t>Stefan</t>
  </si>
  <si>
    <t>Sylvain</t>
  </si>
  <si>
    <t>Timon</t>
  </si>
  <si>
    <t>Mickael</t>
  </si>
  <si>
    <t>Thibault</t>
  </si>
  <si>
    <t>Fabian</t>
  </si>
  <si>
    <t>Marc</t>
  </si>
  <si>
    <t>Manfred</t>
  </si>
  <si>
    <t>Jens-Michael</t>
  </si>
  <si>
    <t>Tobias</t>
  </si>
  <si>
    <t>Raphael</t>
  </si>
  <si>
    <t>Ricardo</t>
  </si>
  <si>
    <t>Clément</t>
  </si>
  <si>
    <t>Sven</t>
  </si>
  <si>
    <t>Flurin</t>
  </si>
  <si>
    <t>Lars</t>
  </si>
  <si>
    <t>Cyrill</t>
  </si>
  <si>
    <t>Cedric</t>
  </si>
  <si>
    <t>Rey-Despenzia-Samuel</t>
  </si>
  <si>
    <t>Philipp</t>
  </si>
  <si>
    <t>Nikita</t>
  </si>
  <si>
    <t>Leo</t>
  </si>
  <si>
    <t>Dario</t>
  </si>
  <si>
    <t>Marcel</t>
  </si>
  <si>
    <t>Paul</t>
  </si>
  <si>
    <t>Rubén</t>
  </si>
  <si>
    <t>Emanuel</t>
  </si>
  <si>
    <t>Simon</t>
  </si>
  <si>
    <t>Artho</t>
  </si>
  <si>
    <t>Joël</t>
  </si>
  <si>
    <t>Florin</t>
  </si>
  <si>
    <t>Théotime</t>
  </si>
  <si>
    <t>Mark</t>
  </si>
  <si>
    <t>Rafael</t>
  </si>
  <si>
    <t>Christian</t>
  </si>
  <si>
    <t>Timo</t>
  </si>
  <si>
    <t>Louis</t>
  </si>
  <si>
    <t>Manuel</t>
  </si>
  <si>
    <t>Thomas</t>
  </si>
  <si>
    <t>Emil</t>
  </si>
  <si>
    <t>Silas</t>
  </si>
  <si>
    <t>Armin</t>
  </si>
  <si>
    <t>Yves</t>
  </si>
  <si>
    <t>Lorin</t>
  </si>
  <si>
    <t>Njaal</t>
  </si>
  <si>
    <t>Adrià</t>
  </si>
  <si>
    <t>Gilles</t>
  </si>
  <si>
    <t>Remo</t>
  </si>
  <si>
    <t>Bruno</t>
  </si>
  <si>
    <t>Mario</t>
  </si>
  <si>
    <t>Christof</t>
  </si>
  <si>
    <t>Stade-Genève</t>
  </si>
  <si>
    <t>LC-Uster</t>
  </si>
  <si>
    <t>LV-Langenthal</t>
  </si>
  <si>
    <t>STB-Leichtathletik</t>
  </si>
  <si>
    <t>LC-Regensdorf</t>
  </si>
  <si>
    <t>Carouge-GE</t>
  </si>
  <si>
    <t>CHP-Genève</t>
  </si>
  <si>
    <t>Granges-VS</t>
  </si>
  <si>
    <t>Oberdorf-NW</t>
  </si>
  <si>
    <t>SSC-Athletics</t>
  </si>
  <si>
    <t>TV-Oerlikon</t>
  </si>
  <si>
    <t>TSV-2001-Rotkreuz</t>
  </si>
  <si>
    <t>CABV-Martigny</t>
  </si>
  <si>
    <t>TV-Maur</t>
  </si>
  <si>
    <t>Bertschikon-Gossau</t>
  </si>
  <si>
    <t>LC-Basel</t>
  </si>
  <si>
    <t>SAL-Società-Atletica-Lugano</t>
  </si>
  <si>
    <t>LV-Winterthur</t>
  </si>
  <si>
    <t/>
  </si>
  <si>
    <t>RCB-Collonge-Bellerive</t>
  </si>
  <si>
    <t>Spiegel-b.-Bern</t>
  </si>
  <si>
    <t>LC-Rapperswil-Jona</t>
  </si>
  <si>
    <t>CAG-Farvagny</t>
  </si>
  <si>
    <t>TV-Länggasse</t>
  </si>
  <si>
    <t>TIP-TOP-Swiss-Polysport-Macolin</t>
  </si>
  <si>
    <t>UNISPORTS-recruiting</t>
  </si>
  <si>
    <t>MILA-Rheintal</t>
  </si>
  <si>
    <t>Athletic-Team-Rechthalten</t>
  </si>
  <si>
    <t>LC-Altdorf</t>
  </si>
  <si>
    <t>Brooks-Trail-Runners</t>
  </si>
  <si>
    <t>SA-Bulle</t>
  </si>
  <si>
    <t>Athle.ch-Club</t>
  </si>
  <si>
    <t>LA-Nidwalden</t>
  </si>
  <si>
    <t>TSV-Galgenen</t>
  </si>
  <si>
    <t>LC-Zürich</t>
  </si>
  <si>
    <t>LC-Frauenfeld</t>
  </si>
  <si>
    <t>St.-Gallen</t>
  </si>
  <si>
    <t>LC-Brühl-Leichtathletik</t>
  </si>
  <si>
    <t>STV-Küssnacht</t>
  </si>
  <si>
    <t>Wil-SG</t>
  </si>
  <si>
    <t>AthleTEAM-Lutry-/-Cris-Run</t>
  </si>
  <si>
    <t>SV-WIEDIKON</t>
  </si>
  <si>
    <t>LV-Langenthal-/-LTC</t>
  </si>
  <si>
    <t>LCA-Bärn</t>
  </si>
  <si>
    <t>LC-Schaffhausen</t>
  </si>
  <si>
    <t>LV-Albis</t>
  </si>
  <si>
    <t>LAR-Bischofszell</t>
  </si>
  <si>
    <t>LC-Luzern</t>
  </si>
  <si>
    <t>TG-Ost</t>
  </si>
  <si>
    <t>LAC-TV-Unterstrass-/-Medbase-Runner</t>
  </si>
  <si>
    <t>LR-Mosnang</t>
  </si>
  <si>
    <t>smrun-/-crespo.ch-/-erox</t>
  </si>
  <si>
    <t>LC-Rafzerfeld</t>
  </si>
  <si>
    <t>Le-Locle</t>
  </si>
  <si>
    <t>USY-/-Trilogie-Sport</t>
  </si>
  <si>
    <t>Triathlon-Club-Baden</t>
  </si>
  <si>
    <t>LC-Scharnachtal</t>
  </si>
  <si>
    <t>Wasen-im-Emmental</t>
  </si>
  <si>
    <t>s_per_km</t>
  </si>
  <si>
    <t>pace</t>
  </si>
  <si>
    <t>KeForma_team</t>
  </si>
  <si>
    <t>Spiegel-b_-Bern</t>
  </si>
  <si>
    <t>Athle_ch-Club</t>
  </si>
  <si>
    <t>St_-Gallen</t>
  </si>
  <si>
    <t>AthleTEAM-Lutry-_-Cris-Run</t>
  </si>
  <si>
    <t>LV-Langenthal-_-LTC</t>
  </si>
  <si>
    <t>LAC-TV-Unterstrass-_-Medbase-Runner</t>
  </si>
  <si>
    <t>smrun-_-crespo_ch-_-erox</t>
  </si>
  <si>
    <t>USY-_-Trilogie-Sport</t>
  </si>
  <si>
    <t>Laedermann</t>
  </si>
  <si>
    <t>Gaechter</t>
  </si>
  <si>
    <t>TV-Laenggasse</t>
  </si>
  <si>
    <t>Staefa</t>
  </si>
  <si>
    <t>Aathal-Seegraeben</t>
  </si>
  <si>
    <t>LCA-Baern</t>
  </si>
  <si>
    <t>Laenzlinger</t>
  </si>
  <si>
    <t>Blaettler</t>
  </si>
  <si>
    <t>Schoenenberger</t>
  </si>
  <si>
    <t>Schoenleber</t>
  </si>
  <si>
    <t>Schoenbaechler</t>
  </si>
  <si>
    <t>Lagerstroem</t>
  </si>
  <si>
    <t>Ruettimann</t>
  </si>
  <si>
    <t>Zuerich</t>
  </si>
  <si>
    <t>Gmuer</t>
  </si>
  <si>
    <t>Duernten</t>
  </si>
  <si>
    <t>LC-Zuerich</t>
  </si>
  <si>
    <t>LC-Bruehl-Leichtathletik</t>
  </si>
  <si>
    <t>Kuessnacht</t>
  </si>
  <si>
    <t>STV-Kuessnacht</t>
  </si>
  <si>
    <t>Duebendorf</t>
  </si>
  <si>
    <t>Buetzberg</t>
  </si>
  <si>
    <t>Huentwangen</t>
  </si>
  <si>
    <t>Gillieron</t>
  </si>
  <si>
    <t>Clement</t>
  </si>
  <si>
    <t>Ruben</t>
  </si>
  <si>
    <t>Theotime</t>
  </si>
  <si>
    <t>Stade-Geneve</t>
  </si>
  <si>
    <t>Geneve</t>
  </si>
  <si>
    <t>CHP-Geneve</t>
  </si>
  <si>
    <t>SAL-Societa-Atletica-Lugano</t>
  </si>
  <si>
    <t>Adria</t>
  </si>
  <si>
    <t>Chateau-d'Oex</t>
  </si>
  <si>
    <t>Thonex</t>
  </si>
  <si>
    <t>Joel</t>
  </si>
  <si>
    <t>rank</t>
  </si>
  <si>
    <t>s_per_k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</si>
</sst>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6" fontId="0" fillId="0" borderId="0" xfId="0" applyNumberFormat="1"/>
    <xf numFmtId="20" fontId="0" fillId="0" borderId="0" xfId="0" applyNumberFormat="1"/>
    <xf numFmtId="0" fontId="0" fillId="2" borderId="0" xfId="0" applyFill="1"/>
    <xf numFmtId="0" fontId="0" fillId="0" borderId="0" xfId="0" quotePrefix="1"/>
    <xf numFmtId="1" fontId="0" fillId="0" borderId="0" xfId="0" applyNumberFormat="1"/>
    <xf numFmtId="2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1F09-CE61-4926-92C8-A3A02E673F81}">
  <dimension ref="A1:Z101"/>
  <sheetViews>
    <sheetView zoomScale="70" zoomScaleNormal="70" workbookViewId="0">
      <selection activeCell="S1" sqref="S1:Z1048576"/>
    </sheetView>
  </sheetViews>
  <sheetFormatPr defaultColWidth="11.42578125" defaultRowHeight="15" x14ac:dyDescent="0.25"/>
  <cols>
    <col min="2" max="2" width="26.7109375" bestFit="1" customWidth="1"/>
    <col min="8" max="8" width="4" style="3" customWidth="1"/>
    <col min="10" max="10" width="11.42578125" style="5"/>
    <col min="11" max="11" width="13.85546875" style="5" bestFit="1" customWidth="1"/>
    <col min="17" max="17" width="35.85546875" bestFit="1" customWidth="1"/>
    <col min="18" max="18" width="4" style="3" customWidth="1"/>
    <col min="19" max="19" width="9.140625" bestFit="1" customWidth="1"/>
    <col min="24" max="24" width="35.85546875" bestFit="1" customWidth="1"/>
  </cols>
  <sheetData>
    <row r="1" spans="1:26" x14ac:dyDescent="0.25">
      <c r="A1" t="s">
        <v>260</v>
      </c>
      <c r="B1" t="s">
        <v>261</v>
      </c>
      <c r="C1" t="s">
        <v>262</v>
      </c>
      <c r="D1" t="s">
        <v>263</v>
      </c>
      <c r="E1" t="s">
        <v>264</v>
      </c>
      <c r="F1" t="s">
        <v>265</v>
      </c>
      <c r="G1" t="s">
        <v>506</v>
      </c>
      <c r="I1" t="s">
        <v>262</v>
      </c>
      <c r="J1" t="s">
        <v>266</v>
      </c>
      <c r="K1" t="s">
        <v>505</v>
      </c>
      <c r="L1" t="s">
        <v>267</v>
      </c>
      <c r="M1" t="s">
        <v>268</v>
      </c>
      <c r="N1" t="s">
        <v>269</v>
      </c>
      <c r="O1" t="s">
        <v>270</v>
      </c>
      <c r="P1" t="s">
        <v>263</v>
      </c>
      <c r="Q1" t="s">
        <v>264</v>
      </c>
      <c r="S1" t="s">
        <v>260</v>
      </c>
      <c r="T1" t="s">
        <v>267</v>
      </c>
      <c r="U1" t="s">
        <v>268</v>
      </c>
      <c r="V1" t="s">
        <v>262</v>
      </c>
      <c r="W1" t="s">
        <v>263</v>
      </c>
      <c r="X1" t="s">
        <v>264</v>
      </c>
      <c r="Y1" t="s">
        <v>266</v>
      </c>
      <c r="Z1" t="s">
        <v>505</v>
      </c>
    </row>
    <row r="2" spans="1:26" x14ac:dyDescent="0.25">
      <c r="A2">
        <v>1</v>
      </c>
      <c r="B2" t="s">
        <v>12</v>
      </c>
      <c r="C2">
        <v>93</v>
      </c>
      <c r="D2" t="s">
        <v>14</v>
      </c>
      <c r="E2" t="s">
        <v>15</v>
      </c>
      <c r="F2" s="1">
        <v>1.21875</v>
      </c>
      <c r="G2" s="2">
        <v>0.12152777777777778</v>
      </c>
      <c r="H2" s="6"/>
      <c r="I2" s="4">
        <f t="shared" ref="I2:I33" si="0">IF(C2&gt;=20, C2+1900, C2+2000)</f>
        <v>1993</v>
      </c>
      <c r="J2" s="5">
        <f>(HOUR(F2)+24)*60 + MINUTE(F2)</f>
        <v>1755</v>
      </c>
      <c r="K2" s="5">
        <f>HOUR(G2)*60 + MINUTE(G2)</f>
        <v>175</v>
      </c>
      <c r="L2" t="str">
        <f t="shared" ref="L2:L33" si="1">LEFT(B2, FIND(" ", B2) - 1)</f>
        <v>Morgan</v>
      </c>
      <c r="M2" t="str">
        <f t="shared" ref="M2:M33" si="2">RIGHT(B2, LEN(B2) - FIND(" ", B2))</f>
        <v>Le Guen</v>
      </c>
      <c r="N2" t="str">
        <f>SUBSTITUTE(M2, " ", "-")</f>
        <v>Le-Guen</v>
      </c>
      <c r="O2" t="str">
        <f t="shared" ref="O2:O33" si="3">SUBSTITUTE(RIGHT(B2, LEN(B2) - FIND(" ", B2)), " ", "-")</f>
        <v>Le-Guen</v>
      </c>
      <c r="P2" t="str">
        <f>SUBSTITUTE(D2, " ", "-")</f>
        <v>Annemasse</v>
      </c>
      <c r="Q2" t="str">
        <f>SUBSTITUTE(E2, " ", "-")</f>
        <v>Stade-Genève</v>
      </c>
      <c r="S2">
        <v>1</v>
      </c>
      <c r="T2" t="s">
        <v>271</v>
      </c>
      <c r="U2" t="s">
        <v>365</v>
      </c>
      <c r="V2">
        <v>1993</v>
      </c>
      <c r="W2" t="s">
        <v>14</v>
      </c>
      <c r="X2" t="s">
        <v>447</v>
      </c>
      <c r="Y2">
        <v>1755</v>
      </c>
      <c r="Z2">
        <v>175</v>
      </c>
    </row>
    <row r="3" spans="1:26" x14ac:dyDescent="0.25">
      <c r="A3">
        <v>2</v>
      </c>
      <c r="B3" t="s">
        <v>16</v>
      </c>
      <c r="C3">
        <v>92</v>
      </c>
      <c r="D3" t="s">
        <v>17</v>
      </c>
      <c r="E3" t="s">
        <v>18</v>
      </c>
      <c r="F3" s="1">
        <v>1.2236111111111112</v>
      </c>
      <c r="G3" s="2">
        <v>0.12222222222222222</v>
      </c>
      <c r="H3" s="6"/>
      <c r="I3" s="4">
        <f t="shared" si="0"/>
        <v>1992</v>
      </c>
      <c r="J3" s="5">
        <f t="shared" ref="J3:J66" si="4">(HOUR(F3)+24)*60 + MINUTE(F3)</f>
        <v>1762</v>
      </c>
      <c r="K3" s="5">
        <f t="shared" ref="K3:K66" si="5">HOUR(G3)*60 + MINUTE(G3)</f>
        <v>176</v>
      </c>
      <c r="L3" t="str">
        <f t="shared" si="1"/>
        <v>Rüttimann</v>
      </c>
      <c r="M3" t="str">
        <f t="shared" si="2"/>
        <v>Eric</v>
      </c>
      <c r="N3" t="str">
        <f t="shared" ref="N3:N66" si="6">SUBSTITUTE(M3, " ", "-")</f>
        <v>Eric</v>
      </c>
      <c r="O3" t="str">
        <f t="shared" si="3"/>
        <v>Eric</v>
      </c>
      <c r="P3" t="str">
        <f t="shared" ref="P3:P66" si="7">SUBSTITUTE(D3, " ", "-")</f>
        <v>Untereggen</v>
      </c>
      <c r="Q3" t="str">
        <f t="shared" ref="Q3:Q66" si="8">SUBSTITUTE(E3, " ", "-")</f>
        <v>LC-Uster</v>
      </c>
      <c r="S3">
        <v>2</v>
      </c>
      <c r="T3" t="s">
        <v>272</v>
      </c>
      <c r="U3" t="s">
        <v>366</v>
      </c>
      <c r="V3">
        <v>1992</v>
      </c>
      <c r="W3" t="s">
        <v>17</v>
      </c>
      <c r="X3" t="s">
        <v>448</v>
      </c>
      <c r="Y3">
        <v>1762</v>
      </c>
      <c r="Z3">
        <v>176</v>
      </c>
    </row>
    <row r="4" spans="1:26" x14ac:dyDescent="0.25">
      <c r="A4">
        <v>3</v>
      </c>
      <c r="B4" t="s">
        <v>22</v>
      </c>
      <c r="C4">
        <v>89</v>
      </c>
      <c r="D4" t="s">
        <v>23</v>
      </c>
      <c r="E4" t="s">
        <v>24</v>
      </c>
      <c r="F4" s="1">
        <v>1.2270833333333333</v>
      </c>
      <c r="G4" s="2">
        <v>0.12222222222222222</v>
      </c>
      <c r="H4" s="6"/>
      <c r="I4" s="4">
        <f t="shared" si="0"/>
        <v>1989</v>
      </c>
      <c r="J4" s="5">
        <f t="shared" si="4"/>
        <v>1767</v>
      </c>
      <c r="K4" s="5">
        <f t="shared" si="5"/>
        <v>176</v>
      </c>
      <c r="L4" t="str">
        <f t="shared" si="1"/>
        <v>Lehmann</v>
      </c>
      <c r="M4" t="str">
        <f t="shared" si="2"/>
        <v>Adrian</v>
      </c>
      <c r="N4" t="str">
        <f t="shared" si="6"/>
        <v>Adrian</v>
      </c>
      <c r="O4" t="str">
        <f t="shared" si="3"/>
        <v>Adrian</v>
      </c>
      <c r="P4" t="str">
        <f t="shared" si="7"/>
        <v>Langenthal</v>
      </c>
      <c r="Q4" t="str">
        <f t="shared" si="8"/>
        <v>LV-Langenthal</v>
      </c>
      <c r="S4">
        <v>3</v>
      </c>
      <c r="T4" t="s">
        <v>273</v>
      </c>
      <c r="U4" t="s">
        <v>367</v>
      </c>
      <c r="V4">
        <v>1989</v>
      </c>
      <c r="W4" t="s">
        <v>23</v>
      </c>
      <c r="X4" t="s">
        <v>449</v>
      </c>
      <c r="Y4">
        <v>1767</v>
      </c>
      <c r="Z4">
        <v>176</v>
      </c>
    </row>
    <row r="5" spans="1:26" x14ac:dyDescent="0.25">
      <c r="A5">
        <v>4</v>
      </c>
      <c r="B5" t="s">
        <v>28</v>
      </c>
      <c r="C5">
        <v>95</v>
      </c>
      <c r="D5" t="s">
        <v>29</v>
      </c>
      <c r="E5" t="s">
        <v>30</v>
      </c>
      <c r="F5" s="1">
        <v>1.2368055555555555</v>
      </c>
      <c r="G5" s="2">
        <v>0.12361111111111112</v>
      </c>
      <c r="H5" s="6"/>
      <c r="I5" s="4">
        <f t="shared" si="0"/>
        <v>1995</v>
      </c>
      <c r="J5" s="5">
        <f t="shared" si="4"/>
        <v>1781</v>
      </c>
      <c r="K5" s="5">
        <f t="shared" si="5"/>
        <v>178</v>
      </c>
      <c r="L5" t="str">
        <f t="shared" si="1"/>
        <v>Noti</v>
      </c>
      <c r="M5" t="str">
        <f t="shared" si="2"/>
        <v>Luca</v>
      </c>
      <c r="N5" t="str">
        <f t="shared" si="6"/>
        <v>Luca</v>
      </c>
      <c r="O5" t="str">
        <f t="shared" si="3"/>
        <v>Luca</v>
      </c>
      <c r="P5" t="str">
        <f t="shared" si="7"/>
        <v>Bern</v>
      </c>
      <c r="Q5" t="str">
        <f t="shared" si="8"/>
        <v>STB-Leichtathletik</v>
      </c>
      <c r="S5">
        <v>4</v>
      </c>
      <c r="T5" t="s">
        <v>274</v>
      </c>
      <c r="U5" t="s">
        <v>368</v>
      </c>
      <c r="V5">
        <v>1995</v>
      </c>
      <c r="W5" t="s">
        <v>29</v>
      </c>
      <c r="X5" t="s">
        <v>450</v>
      </c>
      <c r="Y5">
        <v>1781</v>
      </c>
      <c r="Z5">
        <v>178</v>
      </c>
    </row>
    <row r="6" spans="1:26" x14ac:dyDescent="0.25">
      <c r="A6">
        <v>5</v>
      </c>
      <c r="B6" t="s">
        <v>34</v>
      </c>
      <c r="C6">
        <v>91</v>
      </c>
      <c r="D6" t="s">
        <v>21</v>
      </c>
      <c r="E6" t="s">
        <v>35</v>
      </c>
      <c r="F6" s="1">
        <v>1.2479166666666666</v>
      </c>
      <c r="G6" s="2">
        <v>0.12430555555555556</v>
      </c>
      <c r="H6" s="6"/>
      <c r="I6" s="4">
        <f t="shared" si="0"/>
        <v>1991</v>
      </c>
      <c r="J6" s="5">
        <f t="shared" si="4"/>
        <v>1797</v>
      </c>
      <c r="K6" s="5">
        <f t="shared" si="5"/>
        <v>179</v>
      </c>
      <c r="L6" t="str">
        <f t="shared" si="1"/>
        <v>Schönenberger</v>
      </c>
      <c r="M6" t="str">
        <f t="shared" si="2"/>
        <v>Urs</v>
      </c>
      <c r="N6" t="str">
        <f t="shared" si="6"/>
        <v>Urs</v>
      </c>
      <c r="O6" t="str">
        <f t="shared" si="3"/>
        <v>Urs</v>
      </c>
      <c r="P6" t="str">
        <f t="shared" si="7"/>
        <v>Zürich</v>
      </c>
      <c r="Q6" t="str">
        <f t="shared" si="8"/>
        <v>LC-Regensdorf</v>
      </c>
      <c r="S6">
        <v>5</v>
      </c>
      <c r="T6" t="s">
        <v>275</v>
      </c>
      <c r="U6" t="s">
        <v>369</v>
      </c>
      <c r="V6">
        <v>1991</v>
      </c>
      <c r="W6" t="s">
        <v>21</v>
      </c>
      <c r="X6" t="s">
        <v>451</v>
      </c>
      <c r="Y6">
        <v>1797</v>
      </c>
      <c r="Z6">
        <v>179</v>
      </c>
    </row>
    <row r="7" spans="1:26" x14ac:dyDescent="0.25">
      <c r="A7">
        <v>6</v>
      </c>
      <c r="B7" t="s">
        <v>36</v>
      </c>
      <c r="C7">
        <v>96</v>
      </c>
      <c r="D7" t="s">
        <v>37</v>
      </c>
      <c r="E7" t="s">
        <v>15</v>
      </c>
      <c r="F7" s="1">
        <v>1.2534722222222223</v>
      </c>
      <c r="G7" s="2">
        <v>0.125</v>
      </c>
      <c r="H7" s="6"/>
      <c r="I7" s="4">
        <f t="shared" si="0"/>
        <v>1996</v>
      </c>
      <c r="J7" s="5">
        <f t="shared" si="4"/>
        <v>1805</v>
      </c>
      <c r="K7" s="5">
        <f t="shared" si="5"/>
        <v>180</v>
      </c>
      <c r="L7" t="str">
        <f t="shared" si="1"/>
        <v>Cachelin</v>
      </c>
      <c r="M7" t="str">
        <f t="shared" si="2"/>
        <v>Guillaume</v>
      </c>
      <c r="N7" t="str">
        <f t="shared" si="6"/>
        <v>Guillaume</v>
      </c>
      <c r="O7" t="str">
        <f t="shared" si="3"/>
        <v>Guillaume</v>
      </c>
      <c r="P7" t="str">
        <f t="shared" si="7"/>
        <v>Petit-Lancy</v>
      </c>
      <c r="Q7" t="str">
        <f t="shared" si="8"/>
        <v>Stade-Genève</v>
      </c>
      <c r="S7">
        <v>6</v>
      </c>
      <c r="T7" t="s">
        <v>276</v>
      </c>
      <c r="U7" t="s">
        <v>370</v>
      </c>
      <c r="V7">
        <v>1996</v>
      </c>
      <c r="W7" t="s">
        <v>37</v>
      </c>
      <c r="X7" t="s">
        <v>447</v>
      </c>
      <c r="Y7">
        <v>1805</v>
      </c>
      <c r="Z7">
        <v>180</v>
      </c>
    </row>
    <row r="8" spans="1:26" x14ac:dyDescent="0.25">
      <c r="A8">
        <v>7</v>
      </c>
      <c r="B8" t="s">
        <v>38</v>
      </c>
      <c r="C8">
        <v>95</v>
      </c>
      <c r="D8" t="s">
        <v>39</v>
      </c>
      <c r="E8" t="s">
        <v>40</v>
      </c>
      <c r="F8" s="1">
        <v>1.2611111111111111</v>
      </c>
      <c r="G8" s="2">
        <v>0.12569444444444444</v>
      </c>
      <c r="H8" s="6"/>
      <c r="I8" s="4">
        <f t="shared" si="0"/>
        <v>1995</v>
      </c>
      <c r="J8" s="5">
        <f t="shared" si="4"/>
        <v>1816</v>
      </c>
      <c r="K8" s="5">
        <f t="shared" si="5"/>
        <v>181</v>
      </c>
      <c r="L8" t="str">
        <f t="shared" si="1"/>
        <v>Bussy</v>
      </c>
      <c r="M8" t="str">
        <f t="shared" si="2"/>
        <v>Wondimu</v>
      </c>
      <c r="N8" t="str">
        <f t="shared" si="6"/>
        <v>Wondimu</v>
      </c>
      <c r="O8" t="str">
        <f t="shared" si="3"/>
        <v>Wondimu</v>
      </c>
      <c r="P8" t="str">
        <f t="shared" si="7"/>
        <v>Genève</v>
      </c>
      <c r="Q8" t="str">
        <f t="shared" si="8"/>
        <v>Invia</v>
      </c>
      <c r="S8">
        <v>7</v>
      </c>
      <c r="T8" t="s">
        <v>277</v>
      </c>
      <c r="U8" t="s">
        <v>371</v>
      </c>
      <c r="V8">
        <v>1995</v>
      </c>
      <c r="W8" t="s">
        <v>39</v>
      </c>
      <c r="X8" t="s">
        <v>40</v>
      </c>
      <c r="Y8">
        <v>1816</v>
      </c>
      <c r="Z8">
        <v>181</v>
      </c>
    </row>
    <row r="9" spans="1:26" x14ac:dyDescent="0.25">
      <c r="A9">
        <v>8</v>
      </c>
      <c r="B9" t="s">
        <v>41</v>
      </c>
      <c r="C9">
        <v>0</v>
      </c>
      <c r="D9" t="s">
        <v>29</v>
      </c>
      <c r="E9" t="s">
        <v>30</v>
      </c>
      <c r="F9" s="1">
        <v>1.2625</v>
      </c>
      <c r="G9" s="2">
        <v>0.12569444444444444</v>
      </c>
      <c r="H9" s="6"/>
      <c r="I9" s="4">
        <f t="shared" si="0"/>
        <v>2000</v>
      </c>
      <c r="J9" s="5">
        <f t="shared" si="4"/>
        <v>1818</v>
      </c>
      <c r="K9" s="5">
        <f t="shared" si="5"/>
        <v>181</v>
      </c>
      <c r="L9" t="str">
        <f t="shared" si="1"/>
        <v>Christen</v>
      </c>
      <c r="M9" t="str">
        <f t="shared" si="2"/>
        <v>Maurice Etienne</v>
      </c>
      <c r="N9" t="str">
        <f t="shared" si="6"/>
        <v>Maurice-Etienne</v>
      </c>
      <c r="O9" t="str">
        <f t="shared" si="3"/>
        <v>Maurice-Etienne</v>
      </c>
      <c r="P9" t="str">
        <f t="shared" si="7"/>
        <v>Bern</v>
      </c>
      <c r="Q9" t="str">
        <f t="shared" si="8"/>
        <v>STB-Leichtathletik</v>
      </c>
      <c r="S9">
        <v>8</v>
      </c>
      <c r="T9" t="s">
        <v>278</v>
      </c>
      <c r="U9" t="s">
        <v>372</v>
      </c>
      <c r="V9">
        <v>2000</v>
      </c>
      <c r="W9" t="s">
        <v>29</v>
      </c>
      <c r="X9" t="s">
        <v>450</v>
      </c>
      <c r="Y9">
        <v>1818</v>
      </c>
      <c r="Z9">
        <v>181</v>
      </c>
    </row>
    <row r="10" spans="1:26" x14ac:dyDescent="0.25">
      <c r="A10">
        <v>9</v>
      </c>
      <c r="B10" t="s">
        <v>42</v>
      </c>
      <c r="C10">
        <v>2</v>
      </c>
      <c r="D10" t="s">
        <v>43</v>
      </c>
      <c r="E10" t="s">
        <v>44</v>
      </c>
      <c r="F10" s="1">
        <v>1.2659722222222223</v>
      </c>
      <c r="G10" s="2">
        <v>0.12638888888888888</v>
      </c>
      <c r="H10" s="6"/>
      <c r="I10" s="4">
        <f t="shared" si="0"/>
        <v>2002</v>
      </c>
      <c r="J10" s="5">
        <f t="shared" si="4"/>
        <v>1823</v>
      </c>
      <c r="K10" s="5">
        <f t="shared" si="5"/>
        <v>182</v>
      </c>
      <c r="L10" t="str">
        <f t="shared" si="1"/>
        <v>Lädermann</v>
      </c>
      <c r="M10" t="str">
        <f t="shared" si="2"/>
        <v>Léo</v>
      </c>
      <c r="N10" t="str">
        <f t="shared" si="6"/>
        <v>Léo</v>
      </c>
      <c r="O10" t="str">
        <f t="shared" si="3"/>
        <v>Léo</v>
      </c>
      <c r="P10" t="str">
        <f t="shared" si="7"/>
        <v>Carouge-GE</v>
      </c>
      <c r="Q10" t="str">
        <f t="shared" si="8"/>
        <v>CHP-Genève</v>
      </c>
      <c r="S10">
        <v>9</v>
      </c>
      <c r="T10" t="s">
        <v>279</v>
      </c>
      <c r="U10" t="s">
        <v>373</v>
      </c>
      <c r="V10">
        <v>2002</v>
      </c>
      <c r="W10" t="s">
        <v>452</v>
      </c>
      <c r="X10" t="s">
        <v>453</v>
      </c>
      <c r="Y10">
        <v>1823</v>
      </c>
      <c r="Z10">
        <v>182</v>
      </c>
    </row>
    <row r="11" spans="1:26" x14ac:dyDescent="0.25">
      <c r="A11">
        <v>10</v>
      </c>
      <c r="B11" t="s">
        <v>45</v>
      </c>
      <c r="C11">
        <v>92</v>
      </c>
      <c r="D11" t="s">
        <v>46</v>
      </c>
      <c r="E11" t="s">
        <v>47</v>
      </c>
      <c r="F11" s="1">
        <v>1.26875</v>
      </c>
      <c r="G11" s="2">
        <v>0.12638888888888888</v>
      </c>
      <c r="H11" s="6"/>
      <c r="I11" s="4">
        <f t="shared" si="0"/>
        <v>1992</v>
      </c>
      <c r="J11" s="5">
        <f t="shared" si="4"/>
        <v>1827</v>
      </c>
      <c r="K11" s="5">
        <f t="shared" si="5"/>
        <v>182</v>
      </c>
      <c r="L11" t="str">
        <f t="shared" si="1"/>
        <v>Engelhardt</v>
      </c>
      <c r="M11" t="str">
        <f t="shared" si="2"/>
        <v>Adriano</v>
      </c>
      <c r="N11" t="str">
        <f t="shared" si="6"/>
        <v>Adriano</v>
      </c>
      <c r="O11" t="str">
        <f t="shared" si="3"/>
        <v>Adriano</v>
      </c>
      <c r="P11" t="str">
        <f t="shared" si="7"/>
        <v>Gland</v>
      </c>
      <c r="Q11" t="str">
        <f t="shared" si="8"/>
        <v>KeForma.team</v>
      </c>
      <c r="S11">
        <v>10</v>
      </c>
      <c r="T11" t="s">
        <v>280</v>
      </c>
      <c r="U11" t="s">
        <v>374</v>
      </c>
      <c r="V11">
        <v>1992</v>
      </c>
      <c r="W11" t="s">
        <v>46</v>
      </c>
      <c r="X11" t="s">
        <v>47</v>
      </c>
      <c r="Y11">
        <v>1827</v>
      </c>
      <c r="Z11">
        <v>182</v>
      </c>
    </row>
    <row r="12" spans="1:26" x14ac:dyDescent="0.25">
      <c r="A12">
        <v>11</v>
      </c>
      <c r="B12" t="s">
        <v>48</v>
      </c>
      <c r="C12">
        <v>99</v>
      </c>
      <c r="D12" t="s">
        <v>49</v>
      </c>
      <c r="E12" t="s">
        <v>35</v>
      </c>
      <c r="F12" s="1">
        <v>1.2722222222222221</v>
      </c>
      <c r="G12" s="2">
        <v>0.12708333333333333</v>
      </c>
      <c r="H12" s="6"/>
      <c r="I12" s="4">
        <f t="shared" si="0"/>
        <v>1999</v>
      </c>
      <c r="J12" s="5">
        <f t="shared" si="4"/>
        <v>1832</v>
      </c>
      <c r="K12" s="5">
        <f t="shared" si="5"/>
        <v>183</v>
      </c>
      <c r="L12" t="str">
        <f t="shared" si="1"/>
        <v>Pellaz</v>
      </c>
      <c r="M12" t="str">
        <f t="shared" si="2"/>
        <v>Loris</v>
      </c>
      <c r="N12" t="str">
        <f t="shared" si="6"/>
        <v>Loris</v>
      </c>
      <c r="O12" t="str">
        <f t="shared" si="3"/>
        <v>Loris</v>
      </c>
      <c r="P12" t="str">
        <f t="shared" si="7"/>
        <v>Granges-VS</v>
      </c>
      <c r="Q12" t="str">
        <f t="shared" si="8"/>
        <v>LC-Regensdorf</v>
      </c>
      <c r="S12">
        <v>11</v>
      </c>
      <c r="T12" t="s">
        <v>281</v>
      </c>
      <c r="U12" t="s">
        <v>375</v>
      </c>
      <c r="V12">
        <v>1999</v>
      </c>
      <c r="W12" t="s">
        <v>454</v>
      </c>
      <c r="X12" t="s">
        <v>451</v>
      </c>
      <c r="Y12">
        <v>1832</v>
      </c>
      <c r="Z12">
        <v>183</v>
      </c>
    </row>
    <row r="13" spans="1:26" x14ac:dyDescent="0.25">
      <c r="A13">
        <v>12</v>
      </c>
      <c r="B13" t="s">
        <v>54</v>
      </c>
      <c r="C13">
        <v>96</v>
      </c>
      <c r="D13" t="s">
        <v>55</v>
      </c>
      <c r="E13" t="s">
        <v>18</v>
      </c>
      <c r="F13" s="1">
        <v>1.2756944444444445</v>
      </c>
      <c r="G13" s="2">
        <v>0.12708333333333333</v>
      </c>
      <c r="H13" s="6"/>
      <c r="I13" s="4">
        <f t="shared" si="0"/>
        <v>1996</v>
      </c>
      <c r="J13" s="5">
        <f t="shared" si="4"/>
        <v>1837</v>
      </c>
      <c r="K13" s="5">
        <f t="shared" si="5"/>
        <v>183</v>
      </c>
      <c r="L13" t="str">
        <f t="shared" si="1"/>
        <v>Gächter</v>
      </c>
      <c r="M13" t="str">
        <f t="shared" si="2"/>
        <v>Janis</v>
      </c>
      <c r="N13" t="str">
        <f t="shared" si="6"/>
        <v>Janis</v>
      </c>
      <c r="O13" t="str">
        <f t="shared" si="3"/>
        <v>Janis</v>
      </c>
      <c r="P13" t="str">
        <f t="shared" si="7"/>
        <v>Niederurnen</v>
      </c>
      <c r="Q13" t="str">
        <f t="shared" si="8"/>
        <v>LC-Uster</v>
      </c>
      <c r="S13">
        <v>12</v>
      </c>
      <c r="T13" t="s">
        <v>282</v>
      </c>
      <c r="U13" t="s">
        <v>376</v>
      </c>
      <c r="V13">
        <v>1996</v>
      </c>
      <c r="W13" t="s">
        <v>55</v>
      </c>
      <c r="X13" t="s">
        <v>448</v>
      </c>
      <c r="Y13">
        <v>1837</v>
      </c>
      <c r="Z13">
        <v>183</v>
      </c>
    </row>
    <row r="14" spans="1:26" x14ac:dyDescent="0.25">
      <c r="A14">
        <v>13</v>
      </c>
      <c r="B14" t="s">
        <v>56</v>
      </c>
      <c r="C14">
        <v>94</v>
      </c>
      <c r="D14" t="s">
        <v>57</v>
      </c>
      <c r="E14" t="s">
        <v>30</v>
      </c>
      <c r="F14" s="1">
        <v>1.2763888888888888</v>
      </c>
      <c r="G14" s="2">
        <v>0.12708333333333333</v>
      </c>
      <c r="H14" s="6"/>
      <c r="I14" s="4">
        <f t="shared" si="0"/>
        <v>1994</v>
      </c>
      <c r="J14" s="5">
        <f t="shared" si="4"/>
        <v>1838</v>
      </c>
      <c r="K14" s="5">
        <f t="shared" si="5"/>
        <v>183</v>
      </c>
      <c r="L14" t="str">
        <f t="shared" si="1"/>
        <v>Lussy</v>
      </c>
      <c r="M14" t="str">
        <f t="shared" si="2"/>
        <v>Florian</v>
      </c>
      <c r="N14" t="str">
        <f t="shared" si="6"/>
        <v>Florian</v>
      </c>
      <c r="O14" t="str">
        <f t="shared" si="3"/>
        <v>Florian</v>
      </c>
      <c r="P14" t="str">
        <f t="shared" si="7"/>
        <v>Oberdorf-NW</v>
      </c>
      <c r="Q14" t="str">
        <f t="shared" si="8"/>
        <v>STB-Leichtathletik</v>
      </c>
      <c r="S14">
        <v>13</v>
      </c>
      <c r="T14" t="s">
        <v>283</v>
      </c>
      <c r="U14" t="s">
        <v>377</v>
      </c>
      <c r="V14">
        <v>1994</v>
      </c>
      <c r="W14" t="s">
        <v>455</v>
      </c>
      <c r="X14" t="s">
        <v>450</v>
      </c>
      <c r="Y14">
        <v>1838</v>
      </c>
      <c r="Z14">
        <v>183</v>
      </c>
    </row>
    <row r="15" spans="1:26" x14ac:dyDescent="0.25">
      <c r="A15">
        <v>14</v>
      </c>
      <c r="B15" t="s">
        <v>61</v>
      </c>
      <c r="C15">
        <v>3</v>
      </c>
      <c r="D15" t="s">
        <v>62</v>
      </c>
      <c r="E15" t="s">
        <v>63</v>
      </c>
      <c r="F15" s="1">
        <v>1.2930555555555556</v>
      </c>
      <c r="G15" s="2">
        <v>0.12916666666666668</v>
      </c>
      <c r="H15" s="6"/>
      <c r="I15" s="4">
        <f t="shared" si="0"/>
        <v>2003</v>
      </c>
      <c r="J15" s="5">
        <f t="shared" si="4"/>
        <v>1862</v>
      </c>
      <c r="K15" s="5">
        <f t="shared" si="5"/>
        <v>186</v>
      </c>
      <c r="L15" t="str">
        <f t="shared" si="1"/>
        <v>Irarragorri</v>
      </c>
      <c r="M15" t="str">
        <f t="shared" si="2"/>
        <v>Camilo</v>
      </c>
      <c r="N15" t="str">
        <f t="shared" si="6"/>
        <v>Camilo</v>
      </c>
      <c r="O15" t="str">
        <f t="shared" si="3"/>
        <v>Camilo</v>
      </c>
      <c r="P15" t="str">
        <f t="shared" si="7"/>
        <v>Herrliberg</v>
      </c>
      <c r="Q15" t="str">
        <f t="shared" si="8"/>
        <v>SSC-Athletics</v>
      </c>
      <c r="S15">
        <v>14</v>
      </c>
      <c r="T15" t="s">
        <v>284</v>
      </c>
      <c r="U15" t="s">
        <v>378</v>
      </c>
      <c r="V15">
        <v>2003</v>
      </c>
      <c r="W15" t="s">
        <v>62</v>
      </c>
      <c r="X15" t="s">
        <v>456</v>
      </c>
      <c r="Y15">
        <v>1862</v>
      </c>
      <c r="Z15">
        <v>186</v>
      </c>
    </row>
    <row r="16" spans="1:26" x14ac:dyDescent="0.25">
      <c r="A16">
        <v>15</v>
      </c>
      <c r="B16" t="s">
        <v>64</v>
      </c>
      <c r="C16">
        <v>92</v>
      </c>
      <c r="D16" t="s">
        <v>65</v>
      </c>
      <c r="E16" t="s">
        <v>66</v>
      </c>
      <c r="F16" s="1">
        <v>1.3006944444444444</v>
      </c>
      <c r="G16" s="2">
        <v>0.12986111111111112</v>
      </c>
      <c r="H16" s="6"/>
      <c r="I16" s="4">
        <f t="shared" si="0"/>
        <v>1992</v>
      </c>
      <c r="J16" s="5">
        <f t="shared" si="4"/>
        <v>1873</v>
      </c>
      <c r="K16" s="5">
        <f t="shared" si="5"/>
        <v>187</v>
      </c>
      <c r="L16" t="str">
        <f t="shared" si="1"/>
        <v>Keller</v>
      </c>
      <c r="M16" t="str">
        <f t="shared" si="2"/>
        <v>David</v>
      </c>
      <c r="N16" t="str">
        <f t="shared" si="6"/>
        <v>David</v>
      </c>
      <c r="O16" t="str">
        <f t="shared" si="3"/>
        <v>David</v>
      </c>
      <c r="P16" t="str">
        <f t="shared" si="7"/>
        <v>Dietikon</v>
      </c>
      <c r="Q16" t="str">
        <f t="shared" si="8"/>
        <v>TV-Oerlikon</v>
      </c>
      <c r="S16">
        <v>15</v>
      </c>
      <c r="T16" t="s">
        <v>285</v>
      </c>
      <c r="U16" t="s">
        <v>379</v>
      </c>
      <c r="V16">
        <v>1992</v>
      </c>
      <c r="W16" t="s">
        <v>65</v>
      </c>
      <c r="X16" t="s">
        <v>457</v>
      </c>
      <c r="Y16">
        <v>1873</v>
      </c>
      <c r="Z16">
        <v>187</v>
      </c>
    </row>
    <row r="17" spans="1:26" x14ac:dyDescent="0.25">
      <c r="A17">
        <v>16</v>
      </c>
      <c r="B17" t="s">
        <v>67</v>
      </c>
      <c r="C17">
        <v>96</v>
      </c>
      <c r="D17" t="s">
        <v>68</v>
      </c>
      <c r="E17" t="s">
        <v>30</v>
      </c>
      <c r="F17" s="1">
        <v>1.3013888888888889</v>
      </c>
      <c r="G17" s="2">
        <v>0.12986111111111112</v>
      </c>
      <c r="H17" s="6"/>
      <c r="I17" s="4">
        <f t="shared" si="0"/>
        <v>1996</v>
      </c>
      <c r="J17" s="5">
        <f t="shared" si="4"/>
        <v>1874</v>
      </c>
      <c r="K17" s="5">
        <f t="shared" si="5"/>
        <v>187</v>
      </c>
      <c r="L17" t="str">
        <f t="shared" si="1"/>
        <v>Herren</v>
      </c>
      <c r="M17" t="str">
        <f t="shared" si="2"/>
        <v>Dominik</v>
      </c>
      <c r="N17" t="str">
        <f t="shared" si="6"/>
        <v>Dominik</v>
      </c>
      <c r="O17" t="str">
        <f t="shared" si="3"/>
        <v>Dominik</v>
      </c>
      <c r="P17" t="str">
        <f t="shared" si="7"/>
        <v>Liebefeld</v>
      </c>
      <c r="Q17" t="str">
        <f t="shared" si="8"/>
        <v>STB-Leichtathletik</v>
      </c>
      <c r="S17">
        <v>16</v>
      </c>
      <c r="T17" t="s">
        <v>286</v>
      </c>
      <c r="U17" t="s">
        <v>380</v>
      </c>
      <c r="V17">
        <v>1996</v>
      </c>
      <c r="W17" t="s">
        <v>68</v>
      </c>
      <c r="X17" t="s">
        <v>450</v>
      </c>
      <c r="Y17">
        <v>1874</v>
      </c>
      <c r="Z17">
        <v>187</v>
      </c>
    </row>
    <row r="18" spans="1:26" x14ac:dyDescent="0.25">
      <c r="A18">
        <v>17</v>
      </c>
      <c r="B18" t="s">
        <v>69</v>
      </c>
      <c r="C18">
        <v>94</v>
      </c>
      <c r="D18" t="s">
        <v>70</v>
      </c>
      <c r="E18" t="s">
        <v>15</v>
      </c>
      <c r="F18" s="1">
        <v>1.3062499999999999</v>
      </c>
      <c r="G18" s="2">
        <v>0.13055555555555556</v>
      </c>
      <c r="H18" s="6"/>
      <c r="I18" s="4">
        <f t="shared" si="0"/>
        <v>1994</v>
      </c>
      <c r="J18" s="5">
        <f t="shared" si="4"/>
        <v>1881</v>
      </c>
      <c r="K18" s="5">
        <f t="shared" si="5"/>
        <v>188</v>
      </c>
      <c r="L18" t="str">
        <f t="shared" si="1"/>
        <v>Coendet</v>
      </c>
      <c r="M18" t="str">
        <f t="shared" si="2"/>
        <v>Andy</v>
      </c>
      <c r="N18" t="str">
        <f t="shared" si="6"/>
        <v>Andy</v>
      </c>
      <c r="O18" t="str">
        <f t="shared" si="3"/>
        <v>Andy</v>
      </c>
      <c r="P18" t="str">
        <f t="shared" si="7"/>
        <v>Bernex</v>
      </c>
      <c r="Q18" t="str">
        <f t="shared" si="8"/>
        <v>Stade-Genève</v>
      </c>
      <c r="S18">
        <v>17</v>
      </c>
      <c r="T18" t="s">
        <v>287</v>
      </c>
      <c r="U18" t="s">
        <v>381</v>
      </c>
      <c r="V18">
        <v>1994</v>
      </c>
      <c r="W18" t="s">
        <v>70</v>
      </c>
      <c r="X18" t="s">
        <v>447</v>
      </c>
      <c r="Y18">
        <v>1881</v>
      </c>
      <c r="Z18">
        <v>188</v>
      </c>
    </row>
    <row r="19" spans="1:26" x14ac:dyDescent="0.25">
      <c r="A19">
        <v>18</v>
      </c>
      <c r="B19" t="s">
        <v>71</v>
      </c>
      <c r="C19">
        <v>99</v>
      </c>
      <c r="D19" t="s">
        <v>72</v>
      </c>
      <c r="E19" t="s">
        <v>73</v>
      </c>
      <c r="F19" s="1">
        <v>1.3159722222222223</v>
      </c>
      <c r="G19" s="2">
        <v>0.13125000000000001</v>
      </c>
      <c r="H19" s="6"/>
      <c r="I19" s="4">
        <f t="shared" si="0"/>
        <v>1999</v>
      </c>
      <c r="J19" s="5">
        <f t="shared" si="4"/>
        <v>1895</v>
      </c>
      <c r="K19" s="5">
        <f t="shared" si="5"/>
        <v>189</v>
      </c>
      <c r="L19" t="str">
        <f t="shared" si="1"/>
        <v>Renner</v>
      </c>
      <c r="M19" t="str">
        <f t="shared" si="2"/>
        <v>Roman</v>
      </c>
      <c r="N19" t="str">
        <f t="shared" si="6"/>
        <v>Roman</v>
      </c>
      <c r="O19" t="str">
        <f t="shared" si="3"/>
        <v>Roman</v>
      </c>
      <c r="P19" t="str">
        <f t="shared" si="7"/>
        <v>Meierskappel</v>
      </c>
      <c r="Q19" t="str">
        <f t="shared" si="8"/>
        <v>TSV-2001-Rotkreuz</v>
      </c>
      <c r="S19">
        <v>18</v>
      </c>
      <c r="T19" t="s">
        <v>288</v>
      </c>
      <c r="U19" t="s">
        <v>382</v>
      </c>
      <c r="V19">
        <v>1999</v>
      </c>
      <c r="W19" t="s">
        <v>72</v>
      </c>
      <c r="X19" t="s">
        <v>458</v>
      </c>
      <c r="Y19">
        <v>1895</v>
      </c>
      <c r="Z19">
        <v>189</v>
      </c>
    </row>
    <row r="20" spans="1:26" x14ac:dyDescent="0.25">
      <c r="A20">
        <v>19</v>
      </c>
      <c r="B20" t="s">
        <v>74</v>
      </c>
      <c r="C20">
        <v>85</v>
      </c>
      <c r="D20" t="s">
        <v>32</v>
      </c>
      <c r="E20" t="s">
        <v>75</v>
      </c>
      <c r="F20" s="1">
        <v>1.3180555555555555</v>
      </c>
      <c r="G20" s="2">
        <v>0.13125000000000001</v>
      </c>
      <c r="H20" s="6"/>
      <c r="I20" s="4">
        <f t="shared" si="0"/>
        <v>1985</v>
      </c>
      <c r="J20" s="5">
        <f t="shared" si="4"/>
        <v>1898</v>
      </c>
      <c r="K20" s="5">
        <f t="shared" si="5"/>
        <v>189</v>
      </c>
      <c r="L20" t="str">
        <f t="shared" si="1"/>
        <v>Leboeuf</v>
      </c>
      <c r="M20" t="str">
        <f t="shared" si="2"/>
        <v>François</v>
      </c>
      <c r="N20" t="str">
        <f t="shared" si="6"/>
        <v>François</v>
      </c>
      <c r="O20" t="str">
        <f t="shared" si="3"/>
        <v>François</v>
      </c>
      <c r="P20" t="str">
        <f t="shared" si="7"/>
        <v>Aigle</v>
      </c>
      <c r="Q20" t="str">
        <f t="shared" si="8"/>
        <v>CABV-Martigny</v>
      </c>
      <c r="S20">
        <v>19</v>
      </c>
      <c r="T20" t="s">
        <v>289</v>
      </c>
      <c r="U20" t="s">
        <v>383</v>
      </c>
      <c r="V20">
        <v>1985</v>
      </c>
      <c r="W20" t="s">
        <v>32</v>
      </c>
      <c r="X20" t="s">
        <v>459</v>
      </c>
      <c r="Y20">
        <v>1898</v>
      </c>
      <c r="Z20">
        <v>189</v>
      </c>
    </row>
    <row r="21" spans="1:26" x14ac:dyDescent="0.25">
      <c r="A21">
        <v>20</v>
      </c>
      <c r="B21" t="s">
        <v>76</v>
      </c>
      <c r="C21">
        <v>3</v>
      </c>
      <c r="D21" t="s">
        <v>77</v>
      </c>
      <c r="E21" t="s">
        <v>78</v>
      </c>
      <c r="F21" s="1">
        <v>1.3194444444444444</v>
      </c>
      <c r="G21" s="2">
        <v>0.13125000000000001</v>
      </c>
      <c r="H21" s="6"/>
      <c r="I21" s="4">
        <f t="shared" si="0"/>
        <v>2003</v>
      </c>
      <c r="J21" s="5">
        <f t="shared" si="4"/>
        <v>1900</v>
      </c>
      <c r="K21" s="5">
        <f t="shared" si="5"/>
        <v>189</v>
      </c>
      <c r="L21" t="str">
        <f t="shared" si="1"/>
        <v>Schaub</v>
      </c>
      <c r="M21" t="str">
        <f t="shared" si="2"/>
        <v>Jonas</v>
      </c>
      <c r="N21" t="str">
        <f t="shared" si="6"/>
        <v>Jonas</v>
      </c>
      <c r="O21" t="str">
        <f t="shared" si="3"/>
        <v>Jonas</v>
      </c>
      <c r="P21" t="str">
        <f t="shared" si="7"/>
        <v>Benglen</v>
      </c>
      <c r="Q21" t="str">
        <f t="shared" si="8"/>
        <v>TV-Maur</v>
      </c>
      <c r="S21">
        <v>20</v>
      </c>
      <c r="T21" t="s">
        <v>290</v>
      </c>
      <c r="U21" t="s">
        <v>384</v>
      </c>
      <c r="V21">
        <v>2003</v>
      </c>
      <c r="W21" t="s">
        <v>77</v>
      </c>
      <c r="X21" t="s">
        <v>460</v>
      </c>
      <c r="Y21">
        <v>1900</v>
      </c>
      <c r="Z21">
        <v>189</v>
      </c>
    </row>
    <row r="22" spans="1:26" x14ac:dyDescent="0.25">
      <c r="A22">
        <v>21</v>
      </c>
      <c r="B22" t="s">
        <v>79</v>
      </c>
      <c r="C22">
        <v>82</v>
      </c>
      <c r="D22" t="s">
        <v>80</v>
      </c>
      <c r="E22" t="s">
        <v>66</v>
      </c>
      <c r="F22" s="1">
        <v>1.3215277777777779</v>
      </c>
      <c r="G22" s="2">
        <v>0.13194444444444445</v>
      </c>
      <c r="H22" s="6"/>
      <c r="I22" s="4">
        <f t="shared" si="0"/>
        <v>1982</v>
      </c>
      <c r="J22" s="5">
        <f t="shared" si="4"/>
        <v>1903</v>
      </c>
      <c r="K22" s="5">
        <f t="shared" si="5"/>
        <v>190</v>
      </c>
      <c r="L22" t="str">
        <f t="shared" si="1"/>
        <v>Wenk</v>
      </c>
      <c r="M22" t="str">
        <f t="shared" si="2"/>
        <v>Stephan</v>
      </c>
      <c r="N22" t="str">
        <f t="shared" si="6"/>
        <v>Stephan</v>
      </c>
      <c r="O22" t="str">
        <f t="shared" si="3"/>
        <v>Stephan</v>
      </c>
      <c r="P22" t="str">
        <f t="shared" si="7"/>
        <v>Bertschikon-Gossau</v>
      </c>
      <c r="Q22" t="str">
        <f t="shared" si="8"/>
        <v>TV-Oerlikon</v>
      </c>
      <c r="S22">
        <v>21</v>
      </c>
      <c r="T22" t="s">
        <v>291</v>
      </c>
      <c r="U22" t="s">
        <v>385</v>
      </c>
      <c r="V22">
        <v>1982</v>
      </c>
      <c r="W22" t="s">
        <v>461</v>
      </c>
      <c r="X22" t="s">
        <v>457</v>
      </c>
      <c r="Y22">
        <v>1903</v>
      </c>
      <c r="Z22">
        <v>190</v>
      </c>
    </row>
    <row r="23" spans="1:26" x14ac:dyDescent="0.25">
      <c r="A23">
        <v>22</v>
      </c>
      <c r="B23" t="s">
        <v>81</v>
      </c>
      <c r="C23">
        <v>98</v>
      </c>
      <c r="D23" t="s">
        <v>82</v>
      </c>
      <c r="E23" t="s">
        <v>30</v>
      </c>
      <c r="F23" s="1">
        <v>1.3229166666666667</v>
      </c>
      <c r="G23" s="2">
        <v>0.13194444444444445</v>
      </c>
      <c r="H23" s="6"/>
      <c r="I23" s="4">
        <f t="shared" si="0"/>
        <v>1998</v>
      </c>
      <c r="J23" s="5">
        <f t="shared" si="4"/>
        <v>1905</v>
      </c>
      <c r="K23" s="5">
        <f t="shared" si="5"/>
        <v>190</v>
      </c>
      <c r="L23" t="str">
        <f t="shared" si="1"/>
        <v>Christen</v>
      </c>
      <c r="M23" t="str">
        <f t="shared" si="2"/>
        <v>Julien</v>
      </c>
      <c r="N23" t="str">
        <f t="shared" si="6"/>
        <v>Julien</v>
      </c>
      <c r="O23" t="str">
        <f t="shared" si="3"/>
        <v>Julien</v>
      </c>
      <c r="P23" t="str">
        <f t="shared" si="7"/>
        <v>Kirchlindach</v>
      </c>
      <c r="Q23" t="str">
        <f t="shared" si="8"/>
        <v>STB-Leichtathletik</v>
      </c>
      <c r="S23">
        <v>22</v>
      </c>
      <c r="T23" t="s">
        <v>278</v>
      </c>
      <c r="U23" t="s">
        <v>386</v>
      </c>
      <c r="V23">
        <v>1998</v>
      </c>
      <c r="W23" t="s">
        <v>82</v>
      </c>
      <c r="X23" t="s">
        <v>450</v>
      </c>
      <c r="Y23">
        <v>1905</v>
      </c>
      <c r="Z23">
        <v>190</v>
      </c>
    </row>
    <row r="24" spans="1:26" x14ac:dyDescent="0.25">
      <c r="A24">
        <v>23</v>
      </c>
      <c r="B24" t="s">
        <v>83</v>
      </c>
      <c r="C24">
        <v>92</v>
      </c>
      <c r="D24" t="s">
        <v>21</v>
      </c>
      <c r="E24" t="s">
        <v>66</v>
      </c>
      <c r="F24" s="1">
        <v>1.3236111111111111</v>
      </c>
      <c r="G24" s="2">
        <v>0.13194444444444445</v>
      </c>
      <c r="H24" s="6"/>
      <c r="I24" s="4">
        <f t="shared" si="0"/>
        <v>1992</v>
      </c>
      <c r="J24" s="5">
        <f t="shared" si="4"/>
        <v>1906</v>
      </c>
      <c r="K24" s="5">
        <f t="shared" si="5"/>
        <v>190</v>
      </c>
      <c r="L24" t="str">
        <f t="shared" si="1"/>
        <v>Besse</v>
      </c>
      <c r="M24" t="str">
        <f t="shared" si="2"/>
        <v>Jean-Claude</v>
      </c>
      <c r="N24" t="str">
        <f t="shared" si="6"/>
        <v>Jean-Claude</v>
      </c>
      <c r="O24" t="str">
        <f t="shared" si="3"/>
        <v>Jean-Claude</v>
      </c>
      <c r="P24" t="str">
        <f t="shared" si="7"/>
        <v>Zürich</v>
      </c>
      <c r="Q24" t="str">
        <f t="shared" si="8"/>
        <v>TV-Oerlikon</v>
      </c>
      <c r="S24">
        <v>23</v>
      </c>
      <c r="T24" t="s">
        <v>292</v>
      </c>
      <c r="U24" t="s">
        <v>387</v>
      </c>
      <c r="V24">
        <v>1992</v>
      </c>
      <c r="W24" t="s">
        <v>21</v>
      </c>
      <c r="X24" t="s">
        <v>457</v>
      </c>
      <c r="Y24">
        <v>1906</v>
      </c>
      <c r="Z24">
        <v>190</v>
      </c>
    </row>
    <row r="25" spans="1:26" x14ac:dyDescent="0.25">
      <c r="A25">
        <v>24</v>
      </c>
      <c r="B25" t="s">
        <v>84</v>
      </c>
      <c r="C25">
        <v>1</v>
      </c>
      <c r="D25" t="s">
        <v>85</v>
      </c>
      <c r="E25" t="s">
        <v>86</v>
      </c>
      <c r="F25" s="1">
        <v>1.3243055555555556</v>
      </c>
      <c r="G25" s="2">
        <v>0.13194444444444445</v>
      </c>
      <c r="H25" s="6"/>
      <c r="I25" s="4">
        <f t="shared" si="0"/>
        <v>2001</v>
      </c>
      <c r="J25" s="5">
        <f t="shared" si="4"/>
        <v>1907</v>
      </c>
      <c r="K25" s="5">
        <f t="shared" si="5"/>
        <v>190</v>
      </c>
      <c r="L25" t="str">
        <f t="shared" si="1"/>
        <v>Mennet</v>
      </c>
      <c r="M25" t="str">
        <f t="shared" si="2"/>
        <v>Robin</v>
      </c>
      <c r="N25" t="str">
        <f t="shared" si="6"/>
        <v>Robin</v>
      </c>
      <c r="O25" t="str">
        <f t="shared" si="3"/>
        <v>Robin</v>
      </c>
      <c r="P25" t="str">
        <f t="shared" si="7"/>
        <v>Rheinfelden</v>
      </c>
      <c r="Q25" t="str">
        <f t="shared" si="8"/>
        <v>LC-Basel</v>
      </c>
      <c r="S25">
        <v>24</v>
      </c>
      <c r="T25" t="s">
        <v>293</v>
      </c>
      <c r="U25" t="s">
        <v>388</v>
      </c>
      <c r="V25">
        <v>2001</v>
      </c>
      <c r="W25" t="s">
        <v>85</v>
      </c>
      <c r="X25" t="s">
        <v>462</v>
      </c>
      <c r="Y25">
        <v>1907</v>
      </c>
      <c r="Z25">
        <v>190</v>
      </c>
    </row>
    <row r="26" spans="1:26" x14ac:dyDescent="0.25">
      <c r="A26">
        <v>25</v>
      </c>
      <c r="B26" t="s">
        <v>87</v>
      </c>
      <c r="C26">
        <v>96</v>
      </c>
      <c r="D26" t="s">
        <v>88</v>
      </c>
      <c r="E26" t="s">
        <v>35</v>
      </c>
      <c r="F26" s="1">
        <v>1.3243055555555556</v>
      </c>
      <c r="G26" s="2">
        <v>0.13194444444444445</v>
      </c>
      <c r="H26" s="6"/>
      <c r="I26" s="4">
        <f t="shared" si="0"/>
        <v>1996</v>
      </c>
      <c r="J26" s="5">
        <f t="shared" si="4"/>
        <v>1907</v>
      </c>
      <c r="K26" s="5">
        <f t="shared" si="5"/>
        <v>190</v>
      </c>
      <c r="L26" t="str">
        <f t="shared" si="1"/>
        <v>Schönleber</v>
      </c>
      <c r="M26" t="str">
        <f t="shared" si="2"/>
        <v>Jannis</v>
      </c>
      <c r="N26" t="str">
        <f t="shared" si="6"/>
        <v>Jannis</v>
      </c>
      <c r="O26" t="str">
        <f t="shared" si="3"/>
        <v>Jannis</v>
      </c>
      <c r="P26" t="str">
        <f t="shared" si="7"/>
        <v>Lupsingen</v>
      </c>
      <c r="Q26" t="str">
        <f t="shared" si="8"/>
        <v>LC-Regensdorf</v>
      </c>
      <c r="S26">
        <v>25</v>
      </c>
      <c r="T26" t="s">
        <v>294</v>
      </c>
      <c r="U26" t="s">
        <v>389</v>
      </c>
      <c r="V26">
        <v>1996</v>
      </c>
      <c r="W26" t="s">
        <v>88</v>
      </c>
      <c r="X26" t="s">
        <v>451</v>
      </c>
      <c r="Y26">
        <v>1907</v>
      </c>
      <c r="Z26">
        <v>190</v>
      </c>
    </row>
    <row r="27" spans="1:26" x14ac:dyDescent="0.25">
      <c r="A27">
        <v>26</v>
      </c>
      <c r="B27" t="s">
        <v>89</v>
      </c>
      <c r="C27">
        <v>99</v>
      </c>
      <c r="D27" t="s">
        <v>90</v>
      </c>
      <c r="E27" t="s">
        <v>91</v>
      </c>
      <c r="F27" s="1">
        <v>1.3263888888888888</v>
      </c>
      <c r="G27" s="2">
        <v>0.13194444444444445</v>
      </c>
      <c r="H27" s="6"/>
      <c r="I27" s="4">
        <f t="shared" si="0"/>
        <v>1999</v>
      </c>
      <c r="J27" s="5">
        <f t="shared" si="4"/>
        <v>1910</v>
      </c>
      <c r="K27" s="5">
        <f t="shared" si="5"/>
        <v>190</v>
      </c>
      <c r="L27" t="str">
        <f t="shared" si="1"/>
        <v>Marani</v>
      </c>
      <c r="M27" t="str">
        <f t="shared" si="2"/>
        <v>Tommaso</v>
      </c>
      <c r="N27" t="str">
        <f t="shared" si="6"/>
        <v>Tommaso</v>
      </c>
      <c r="O27" t="str">
        <f t="shared" si="3"/>
        <v>Tommaso</v>
      </c>
      <c r="P27" t="str">
        <f t="shared" si="7"/>
        <v>Viganello</v>
      </c>
      <c r="Q27" t="str">
        <f t="shared" si="8"/>
        <v>SAL-Società-Atletica-Lugano</v>
      </c>
      <c r="S27">
        <v>26</v>
      </c>
      <c r="T27" t="s">
        <v>295</v>
      </c>
      <c r="U27" t="s">
        <v>390</v>
      </c>
      <c r="V27">
        <v>1999</v>
      </c>
      <c r="W27" t="s">
        <v>90</v>
      </c>
      <c r="X27" t="s">
        <v>463</v>
      </c>
      <c r="Y27">
        <v>1910</v>
      </c>
      <c r="Z27">
        <v>190</v>
      </c>
    </row>
    <row r="28" spans="1:26" x14ac:dyDescent="0.25">
      <c r="A28">
        <v>27</v>
      </c>
      <c r="B28" t="s">
        <v>92</v>
      </c>
      <c r="C28">
        <v>0</v>
      </c>
      <c r="D28" t="s">
        <v>23</v>
      </c>
      <c r="E28" t="s">
        <v>24</v>
      </c>
      <c r="F28" s="1">
        <v>1.3270833333333334</v>
      </c>
      <c r="G28" s="2">
        <v>0.13194444444444445</v>
      </c>
      <c r="H28" s="6"/>
      <c r="I28" s="4">
        <f t="shared" si="0"/>
        <v>2000</v>
      </c>
      <c r="J28" s="5">
        <f t="shared" si="4"/>
        <v>1911</v>
      </c>
      <c r="K28" s="5">
        <f t="shared" si="5"/>
        <v>190</v>
      </c>
      <c r="L28" t="str">
        <f t="shared" si="1"/>
        <v>Huldi</v>
      </c>
      <c r="M28" t="str">
        <f t="shared" si="2"/>
        <v>Samuel</v>
      </c>
      <c r="N28" t="str">
        <f t="shared" si="6"/>
        <v>Samuel</v>
      </c>
      <c r="O28" t="str">
        <f t="shared" si="3"/>
        <v>Samuel</v>
      </c>
      <c r="P28" t="str">
        <f t="shared" si="7"/>
        <v>Langenthal</v>
      </c>
      <c r="Q28" t="str">
        <f t="shared" si="8"/>
        <v>LV-Langenthal</v>
      </c>
      <c r="S28">
        <v>27</v>
      </c>
      <c r="T28" t="s">
        <v>296</v>
      </c>
      <c r="U28" t="s">
        <v>391</v>
      </c>
      <c r="V28">
        <v>2000</v>
      </c>
      <c r="W28" t="s">
        <v>23</v>
      </c>
      <c r="X28" t="s">
        <v>449</v>
      </c>
      <c r="Y28">
        <v>1911</v>
      </c>
      <c r="Z28">
        <v>190</v>
      </c>
    </row>
    <row r="29" spans="1:26" x14ac:dyDescent="0.25">
      <c r="A29">
        <v>28</v>
      </c>
      <c r="B29" t="s">
        <v>93</v>
      </c>
      <c r="C29">
        <v>4</v>
      </c>
      <c r="D29" t="s">
        <v>94</v>
      </c>
      <c r="E29" t="s">
        <v>95</v>
      </c>
      <c r="F29" s="1">
        <v>1.3291666666666666</v>
      </c>
      <c r="G29" s="2">
        <v>0.13263888888888889</v>
      </c>
      <c r="H29" s="6"/>
      <c r="I29" s="4">
        <f t="shared" si="0"/>
        <v>2004</v>
      </c>
      <c r="J29" s="5">
        <f t="shared" si="4"/>
        <v>1914</v>
      </c>
      <c r="K29" s="5">
        <f t="shared" si="5"/>
        <v>191</v>
      </c>
      <c r="L29" t="str">
        <f t="shared" si="1"/>
        <v>Freitag</v>
      </c>
      <c r="M29" t="str">
        <f t="shared" si="2"/>
        <v>Nino</v>
      </c>
      <c r="N29" t="str">
        <f t="shared" si="6"/>
        <v>Nino</v>
      </c>
      <c r="O29" t="str">
        <f t="shared" si="3"/>
        <v>Nino</v>
      </c>
      <c r="P29" t="str">
        <f t="shared" si="7"/>
        <v>Winterthur</v>
      </c>
      <c r="Q29" t="str">
        <f t="shared" si="8"/>
        <v>LV-Winterthur</v>
      </c>
      <c r="S29">
        <v>28</v>
      </c>
      <c r="T29" t="s">
        <v>297</v>
      </c>
      <c r="U29" t="s">
        <v>392</v>
      </c>
      <c r="V29">
        <v>2004</v>
      </c>
      <c r="W29" t="s">
        <v>94</v>
      </c>
      <c r="X29" t="s">
        <v>464</v>
      </c>
      <c r="Y29">
        <v>1914</v>
      </c>
      <c r="Z29">
        <v>191</v>
      </c>
    </row>
    <row r="30" spans="1:26" x14ac:dyDescent="0.25">
      <c r="A30">
        <v>29</v>
      </c>
      <c r="B30" t="s">
        <v>96</v>
      </c>
      <c r="C30">
        <v>1</v>
      </c>
      <c r="D30" t="s">
        <v>97</v>
      </c>
      <c r="F30" s="1">
        <v>1.3298611111111112</v>
      </c>
      <c r="G30" s="2">
        <v>0.13263888888888889</v>
      </c>
      <c r="H30" s="6"/>
      <c r="I30" s="4">
        <f t="shared" si="0"/>
        <v>2001</v>
      </c>
      <c r="J30" s="5">
        <f t="shared" si="4"/>
        <v>1915</v>
      </c>
      <c r="K30" s="5">
        <f t="shared" si="5"/>
        <v>191</v>
      </c>
      <c r="L30" t="str">
        <f t="shared" si="1"/>
        <v>Alagona</v>
      </c>
      <c r="M30" t="str">
        <f t="shared" si="2"/>
        <v>Andrea</v>
      </c>
      <c r="N30" t="str">
        <f t="shared" si="6"/>
        <v>Andrea</v>
      </c>
      <c r="O30" t="str">
        <f t="shared" si="3"/>
        <v>Andrea</v>
      </c>
      <c r="P30" t="str">
        <f t="shared" si="7"/>
        <v>Locarno</v>
      </c>
      <c r="Q30" t="str">
        <f t="shared" si="8"/>
        <v/>
      </c>
      <c r="S30">
        <v>29</v>
      </c>
      <c r="T30" t="s">
        <v>298</v>
      </c>
      <c r="U30" t="s">
        <v>393</v>
      </c>
      <c r="V30">
        <v>2001</v>
      </c>
      <c r="W30" t="s">
        <v>97</v>
      </c>
      <c r="X30" t="s">
        <v>465</v>
      </c>
      <c r="Y30">
        <v>1915</v>
      </c>
      <c r="Z30">
        <v>191</v>
      </c>
    </row>
    <row r="31" spans="1:26" x14ac:dyDescent="0.25">
      <c r="A31">
        <v>30</v>
      </c>
      <c r="B31" t="s">
        <v>98</v>
      </c>
      <c r="C31">
        <v>78</v>
      </c>
      <c r="D31" t="s">
        <v>99</v>
      </c>
      <c r="E31" t="s">
        <v>100</v>
      </c>
      <c r="F31" s="1">
        <v>1.33125</v>
      </c>
      <c r="G31" s="2">
        <v>0.13263888888888889</v>
      </c>
      <c r="H31" s="6"/>
      <c r="I31" s="4">
        <f t="shared" si="0"/>
        <v>1978</v>
      </c>
      <c r="J31" s="5">
        <f t="shared" si="4"/>
        <v>1917</v>
      </c>
      <c r="K31" s="5">
        <f t="shared" si="5"/>
        <v>191</v>
      </c>
      <c r="L31" t="str">
        <f t="shared" si="1"/>
        <v>Da</v>
      </c>
      <c r="M31" t="str">
        <f t="shared" si="2"/>
        <v>Silva Miguel</v>
      </c>
      <c r="N31" t="str">
        <f t="shared" si="6"/>
        <v>Silva-Miguel</v>
      </c>
      <c r="O31" t="str">
        <f t="shared" si="3"/>
        <v>Silva-Miguel</v>
      </c>
      <c r="P31" t="str">
        <f t="shared" si="7"/>
        <v>Thônex</v>
      </c>
      <c r="Q31" t="str">
        <f t="shared" si="8"/>
        <v>RCB-Collonge-Bellerive</v>
      </c>
      <c r="S31">
        <v>30</v>
      </c>
      <c r="T31" t="s">
        <v>299</v>
      </c>
      <c r="U31" t="s">
        <v>394</v>
      </c>
      <c r="V31">
        <v>1978</v>
      </c>
      <c r="W31" t="s">
        <v>99</v>
      </c>
      <c r="X31" t="s">
        <v>466</v>
      </c>
      <c r="Y31">
        <v>1917</v>
      </c>
      <c r="Z31">
        <v>191</v>
      </c>
    </row>
    <row r="32" spans="1:26" x14ac:dyDescent="0.25">
      <c r="A32">
        <v>31</v>
      </c>
      <c r="B32" t="s">
        <v>101</v>
      </c>
      <c r="C32">
        <v>88</v>
      </c>
      <c r="D32" t="s">
        <v>102</v>
      </c>
      <c r="E32" t="s">
        <v>103</v>
      </c>
      <c r="F32" s="1">
        <v>1.33125</v>
      </c>
      <c r="G32" s="2">
        <v>0.13263888888888889</v>
      </c>
      <c r="H32" s="6"/>
      <c r="I32" s="4">
        <f t="shared" si="0"/>
        <v>1988</v>
      </c>
      <c r="J32" s="5">
        <f t="shared" si="4"/>
        <v>1917</v>
      </c>
      <c r="K32" s="5">
        <f t="shared" si="5"/>
        <v>191</v>
      </c>
      <c r="L32" t="str">
        <f t="shared" si="1"/>
        <v>Gmür</v>
      </c>
      <c r="M32" t="str">
        <f t="shared" si="2"/>
        <v>Chrigi</v>
      </c>
      <c r="N32" t="str">
        <f t="shared" si="6"/>
        <v>Chrigi</v>
      </c>
      <c r="O32" t="str">
        <f t="shared" si="3"/>
        <v>Chrigi</v>
      </c>
      <c r="P32" t="str">
        <f t="shared" si="7"/>
        <v>Spiegel-b.-Bern</v>
      </c>
      <c r="Q32" t="str">
        <f t="shared" si="8"/>
        <v>LC-Rapperswil-Jona</v>
      </c>
      <c r="S32">
        <v>31</v>
      </c>
      <c r="T32" t="s">
        <v>300</v>
      </c>
      <c r="U32" t="s">
        <v>395</v>
      </c>
      <c r="V32">
        <v>1988</v>
      </c>
      <c r="W32" t="s">
        <v>467</v>
      </c>
      <c r="X32" t="s">
        <v>468</v>
      </c>
      <c r="Y32">
        <v>1917</v>
      </c>
      <c r="Z32">
        <v>191</v>
      </c>
    </row>
    <row r="33" spans="1:26" x14ac:dyDescent="0.25">
      <c r="A33">
        <v>32</v>
      </c>
      <c r="B33" t="s">
        <v>104</v>
      </c>
      <c r="C33">
        <v>3</v>
      </c>
      <c r="D33" t="s">
        <v>105</v>
      </c>
      <c r="E33" t="s">
        <v>18</v>
      </c>
      <c r="F33" s="1">
        <v>1.3319444444444444</v>
      </c>
      <c r="G33" s="2">
        <v>0.13263888888888889</v>
      </c>
      <c r="H33" s="6"/>
      <c r="I33" s="4">
        <f t="shared" si="0"/>
        <v>2003</v>
      </c>
      <c r="J33" s="5">
        <f t="shared" si="4"/>
        <v>1918</v>
      </c>
      <c r="K33" s="5">
        <f t="shared" si="5"/>
        <v>191</v>
      </c>
      <c r="L33" t="str">
        <f t="shared" si="1"/>
        <v>Kaufmann</v>
      </c>
      <c r="M33" t="str">
        <f t="shared" si="2"/>
        <v>Loris</v>
      </c>
      <c r="N33" t="str">
        <f t="shared" si="6"/>
        <v>Loris</v>
      </c>
      <c r="O33" t="str">
        <f t="shared" si="3"/>
        <v>Loris</v>
      </c>
      <c r="P33" t="str">
        <f t="shared" si="7"/>
        <v>Dürnten</v>
      </c>
      <c r="Q33" t="str">
        <f t="shared" si="8"/>
        <v>LC-Uster</v>
      </c>
      <c r="S33">
        <v>32</v>
      </c>
      <c r="T33" t="s">
        <v>301</v>
      </c>
      <c r="U33" t="s">
        <v>375</v>
      </c>
      <c r="V33">
        <v>2003</v>
      </c>
      <c r="W33" t="s">
        <v>105</v>
      </c>
      <c r="X33" t="s">
        <v>448</v>
      </c>
      <c r="Y33">
        <v>1918</v>
      </c>
      <c r="Z33">
        <v>191</v>
      </c>
    </row>
    <row r="34" spans="1:26" x14ac:dyDescent="0.25">
      <c r="A34">
        <v>33</v>
      </c>
      <c r="B34" t="s">
        <v>106</v>
      </c>
      <c r="C34">
        <v>96</v>
      </c>
      <c r="D34" t="s">
        <v>107</v>
      </c>
      <c r="E34" t="s">
        <v>35</v>
      </c>
      <c r="F34" s="1">
        <v>1.3319444444444444</v>
      </c>
      <c r="G34" s="2">
        <v>0.13263888888888889</v>
      </c>
      <c r="H34" s="6"/>
      <c r="I34" s="4">
        <f t="shared" ref="I34:I65" si="9">IF(C34&gt;=20, C34+1900, C34+2000)</f>
        <v>1996</v>
      </c>
      <c r="J34" s="5">
        <f t="shared" si="4"/>
        <v>1918</v>
      </c>
      <c r="K34" s="5">
        <f t="shared" si="5"/>
        <v>191</v>
      </c>
      <c r="L34" t="str">
        <f t="shared" ref="L34:L65" si="10">LEFT(B34, FIND(" ", B34) - 1)</f>
        <v>Ulrich</v>
      </c>
      <c r="M34" t="str">
        <f t="shared" ref="M34:M65" si="11">RIGHT(B34, LEN(B34) - FIND(" ", B34))</f>
        <v>Stefan</v>
      </c>
      <c r="N34" t="str">
        <f t="shared" si="6"/>
        <v>Stefan</v>
      </c>
      <c r="O34" t="str">
        <f t="shared" ref="O34:O65" si="12">SUBSTITUTE(RIGHT(B34, LEN(B34) - FIND(" ", B34)), " ", "-")</f>
        <v>Stefan</v>
      </c>
      <c r="P34" t="str">
        <f t="shared" si="7"/>
        <v>Regensdorf</v>
      </c>
      <c r="Q34" t="str">
        <f t="shared" si="8"/>
        <v>LC-Regensdorf</v>
      </c>
      <c r="S34">
        <v>33</v>
      </c>
      <c r="T34" t="s">
        <v>302</v>
      </c>
      <c r="U34" t="s">
        <v>396</v>
      </c>
      <c r="V34">
        <v>1996</v>
      </c>
      <c r="W34" t="s">
        <v>107</v>
      </c>
      <c r="X34" t="s">
        <v>451</v>
      </c>
      <c r="Y34">
        <v>1918</v>
      </c>
      <c r="Z34">
        <v>191</v>
      </c>
    </row>
    <row r="35" spans="1:26" x14ac:dyDescent="0.25">
      <c r="A35">
        <v>34</v>
      </c>
      <c r="B35" t="s">
        <v>108</v>
      </c>
      <c r="C35">
        <v>99</v>
      </c>
      <c r="D35" t="s">
        <v>109</v>
      </c>
      <c r="E35" t="s">
        <v>110</v>
      </c>
      <c r="F35" s="1">
        <v>1.3326388888888889</v>
      </c>
      <c r="G35" s="2">
        <v>0.13263888888888889</v>
      </c>
      <c r="H35" s="6"/>
      <c r="I35" s="4">
        <f t="shared" si="9"/>
        <v>1999</v>
      </c>
      <c r="J35" s="5">
        <f t="shared" si="4"/>
        <v>1919</v>
      </c>
      <c r="K35" s="5">
        <f t="shared" si="5"/>
        <v>191</v>
      </c>
      <c r="L35" t="str">
        <f t="shared" si="10"/>
        <v>Monney</v>
      </c>
      <c r="M35" t="str">
        <f t="shared" si="11"/>
        <v>Sylvain</v>
      </c>
      <c r="N35" t="str">
        <f t="shared" si="6"/>
        <v>Sylvain</v>
      </c>
      <c r="O35" t="str">
        <f t="shared" si="12"/>
        <v>Sylvain</v>
      </c>
      <c r="P35" t="str">
        <f t="shared" si="7"/>
        <v>Corpataux-Magneden</v>
      </c>
      <c r="Q35" t="str">
        <f t="shared" si="8"/>
        <v>CAG-Farvagny</v>
      </c>
      <c r="S35">
        <v>34</v>
      </c>
      <c r="T35" t="s">
        <v>303</v>
      </c>
      <c r="U35" t="s">
        <v>397</v>
      </c>
      <c r="V35">
        <v>1999</v>
      </c>
      <c r="W35" t="s">
        <v>109</v>
      </c>
      <c r="X35" t="s">
        <v>469</v>
      </c>
      <c r="Y35">
        <v>1919</v>
      </c>
      <c r="Z35">
        <v>191</v>
      </c>
    </row>
    <row r="36" spans="1:26" x14ac:dyDescent="0.25">
      <c r="A36">
        <v>35</v>
      </c>
      <c r="B36" t="s">
        <v>111</v>
      </c>
      <c r="C36">
        <v>87</v>
      </c>
      <c r="D36" t="s">
        <v>112</v>
      </c>
      <c r="E36" t="s">
        <v>113</v>
      </c>
      <c r="F36" s="1">
        <v>1.3326388888888889</v>
      </c>
      <c r="G36" s="2">
        <v>0.13263888888888889</v>
      </c>
      <c r="H36" s="6"/>
      <c r="I36" s="4">
        <f t="shared" si="9"/>
        <v>1987</v>
      </c>
      <c r="J36" s="5">
        <f t="shared" si="4"/>
        <v>1919</v>
      </c>
      <c r="K36" s="5">
        <f t="shared" si="5"/>
        <v>191</v>
      </c>
      <c r="L36" t="str">
        <f t="shared" si="10"/>
        <v>Amstutz</v>
      </c>
      <c r="M36" t="str">
        <f t="shared" si="11"/>
        <v>Timon</v>
      </c>
      <c r="N36" t="str">
        <f t="shared" si="6"/>
        <v>Timon</v>
      </c>
      <c r="O36" t="str">
        <f t="shared" si="12"/>
        <v>Timon</v>
      </c>
      <c r="P36" t="str">
        <f t="shared" si="7"/>
        <v>Hindelbank</v>
      </c>
      <c r="Q36" t="str">
        <f t="shared" si="8"/>
        <v>TV-Länggasse</v>
      </c>
      <c r="S36">
        <v>35</v>
      </c>
      <c r="T36" t="s">
        <v>304</v>
      </c>
      <c r="U36" t="s">
        <v>398</v>
      </c>
      <c r="V36">
        <v>1987</v>
      </c>
      <c r="W36" t="s">
        <v>112</v>
      </c>
      <c r="X36" t="s">
        <v>470</v>
      </c>
      <c r="Y36">
        <v>1919</v>
      </c>
      <c r="Z36">
        <v>191</v>
      </c>
    </row>
    <row r="37" spans="1:26" x14ac:dyDescent="0.25">
      <c r="A37">
        <v>36</v>
      </c>
      <c r="B37" t="s">
        <v>114</v>
      </c>
      <c r="C37">
        <v>4</v>
      </c>
      <c r="D37" t="s">
        <v>115</v>
      </c>
      <c r="E37" t="s">
        <v>116</v>
      </c>
      <c r="F37" s="1">
        <v>1.3374999999999999</v>
      </c>
      <c r="G37" s="2">
        <v>0.13333333333333333</v>
      </c>
      <c r="H37" s="6"/>
      <c r="I37" s="4">
        <f t="shared" si="9"/>
        <v>2004</v>
      </c>
      <c r="J37" s="5">
        <f t="shared" si="4"/>
        <v>1926</v>
      </c>
      <c r="K37" s="5">
        <f t="shared" si="5"/>
        <v>192</v>
      </c>
      <c r="L37" t="str">
        <f t="shared" si="10"/>
        <v>Marti</v>
      </c>
      <c r="M37" t="str">
        <f t="shared" si="11"/>
        <v>Mickael</v>
      </c>
      <c r="N37" t="str">
        <f t="shared" si="6"/>
        <v>Mickael</v>
      </c>
      <c r="O37" t="str">
        <f t="shared" si="12"/>
        <v>Mickael</v>
      </c>
      <c r="P37" t="str">
        <f t="shared" si="7"/>
        <v>Sonceboz-Sombeval</v>
      </c>
      <c r="Q37" t="str">
        <f t="shared" si="8"/>
        <v>TIP-TOP-Swiss-Polysport-Macolin</v>
      </c>
      <c r="S37">
        <v>36</v>
      </c>
      <c r="T37" t="s">
        <v>305</v>
      </c>
      <c r="U37" t="s">
        <v>399</v>
      </c>
      <c r="V37">
        <v>2004</v>
      </c>
      <c r="W37" t="s">
        <v>115</v>
      </c>
      <c r="X37" t="s">
        <v>471</v>
      </c>
      <c r="Y37">
        <v>1926</v>
      </c>
      <c r="Z37">
        <v>192</v>
      </c>
    </row>
    <row r="38" spans="1:26" x14ac:dyDescent="0.25">
      <c r="A38">
        <v>37</v>
      </c>
      <c r="B38" t="s">
        <v>117</v>
      </c>
      <c r="C38">
        <v>98</v>
      </c>
      <c r="D38" t="s">
        <v>118</v>
      </c>
      <c r="F38" s="1">
        <v>1.3409722222222222</v>
      </c>
      <c r="G38" s="2">
        <v>0.13333333333333333</v>
      </c>
      <c r="H38" s="6"/>
      <c r="I38" s="4">
        <f t="shared" si="9"/>
        <v>1998</v>
      </c>
      <c r="J38" s="5">
        <f t="shared" si="4"/>
        <v>1931</v>
      </c>
      <c r="K38" s="5">
        <f t="shared" si="5"/>
        <v>192</v>
      </c>
      <c r="L38" t="str">
        <f t="shared" si="10"/>
        <v>Niederhauser</v>
      </c>
      <c r="M38" t="str">
        <f t="shared" si="11"/>
        <v>Thibault</v>
      </c>
      <c r="N38" t="str">
        <f t="shared" si="6"/>
        <v>Thibault</v>
      </c>
      <c r="O38" t="str">
        <f t="shared" si="12"/>
        <v>Thibault</v>
      </c>
      <c r="P38" t="str">
        <f t="shared" si="7"/>
        <v>Château-d'Oex</v>
      </c>
      <c r="Q38" t="str">
        <f t="shared" si="8"/>
        <v/>
      </c>
      <c r="S38">
        <v>37</v>
      </c>
      <c r="T38" t="s">
        <v>306</v>
      </c>
      <c r="U38" t="s">
        <v>400</v>
      </c>
      <c r="V38">
        <v>1998</v>
      </c>
      <c r="W38" t="s">
        <v>118</v>
      </c>
      <c r="X38" t="s">
        <v>465</v>
      </c>
      <c r="Y38">
        <v>1931</v>
      </c>
      <c r="Z38">
        <v>192</v>
      </c>
    </row>
    <row r="39" spans="1:26" x14ac:dyDescent="0.25">
      <c r="A39">
        <v>38</v>
      </c>
      <c r="B39" t="s">
        <v>119</v>
      </c>
      <c r="C39">
        <v>95</v>
      </c>
      <c r="D39" t="s">
        <v>21</v>
      </c>
      <c r="E39" t="s">
        <v>66</v>
      </c>
      <c r="F39" s="1">
        <v>1.3444444444444446</v>
      </c>
      <c r="G39" s="2">
        <v>0.13402777777777777</v>
      </c>
      <c r="H39" s="6"/>
      <c r="I39" s="4">
        <f t="shared" si="9"/>
        <v>1995</v>
      </c>
      <c r="J39" s="5">
        <f t="shared" si="4"/>
        <v>1936</v>
      </c>
      <c r="K39" s="5">
        <f t="shared" si="5"/>
        <v>193</v>
      </c>
      <c r="L39" t="str">
        <f t="shared" si="10"/>
        <v>Chalus</v>
      </c>
      <c r="M39" t="str">
        <f t="shared" si="11"/>
        <v>François</v>
      </c>
      <c r="N39" t="str">
        <f t="shared" si="6"/>
        <v>François</v>
      </c>
      <c r="O39" t="str">
        <f t="shared" si="12"/>
        <v>François</v>
      </c>
      <c r="P39" t="str">
        <f t="shared" si="7"/>
        <v>Zürich</v>
      </c>
      <c r="Q39" t="str">
        <f t="shared" si="8"/>
        <v>TV-Oerlikon</v>
      </c>
      <c r="S39">
        <v>38</v>
      </c>
      <c r="T39" t="s">
        <v>307</v>
      </c>
      <c r="U39" t="s">
        <v>383</v>
      </c>
      <c r="V39">
        <v>1995</v>
      </c>
      <c r="W39" t="s">
        <v>21</v>
      </c>
      <c r="X39" t="s">
        <v>457</v>
      </c>
      <c r="Y39">
        <v>1936</v>
      </c>
      <c r="Z39">
        <v>193</v>
      </c>
    </row>
    <row r="40" spans="1:26" x14ac:dyDescent="0.25">
      <c r="A40">
        <v>39</v>
      </c>
      <c r="B40" t="s">
        <v>120</v>
      </c>
      <c r="C40">
        <v>86</v>
      </c>
      <c r="D40" t="s">
        <v>21</v>
      </c>
      <c r="E40" t="s">
        <v>121</v>
      </c>
      <c r="F40" s="1">
        <v>1.3458333333333334</v>
      </c>
      <c r="G40" s="2">
        <v>0.13402777777777777</v>
      </c>
      <c r="H40" s="6"/>
      <c r="I40" s="4">
        <f t="shared" si="9"/>
        <v>1986</v>
      </c>
      <c r="J40" s="5">
        <f t="shared" si="4"/>
        <v>1938</v>
      </c>
      <c r="K40" s="5">
        <f t="shared" si="5"/>
        <v>193</v>
      </c>
      <c r="L40" t="str">
        <f t="shared" si="10"/>
        <v>Hutterli</v>
      </c>
      <c r="M40" t="str">
        <f t="shared" si="11"/>
        <v>Loris</v>
      </c>
      <c r="N40" t="str">
        <f t="shared" si="6"/>
        <v>Loris</v>
      </c>
      <c r="O40" t="str">
        <f t="shared" si="12"/>
        <v>Loris</v>
      </c>
      <c r="P40" t="str">
        <f t="shared" si="7"/>
        <v>Zürich</v>
      </c>
      <c r="Q40" t="str">
        <f t="shared" si="8"/>
        <v>UNISPORTS-recruiting</v>
      </c>
      <c r="S40">
        <v>39</v>
      </c>
      <c r="T40" t="s">
        <v>308</v>
      </c>
      <c r="U40" t="s">
        <v>375</v>
      </c>
      <c r="V40">
        <v>1986</v>
      </c>
      <c r="W40" t="s">
        <v>21</v>
      </c>
      <c r="X40" t="s">
        <v>472</v>
      </c>
      <c r="Y40">
        <v>1938</v>
      </c>
      <c r="Z40">
        <v>193</v>
      </c>
    </row>
    <row r="41" spans="1:26" x14ac:dyDescent="0.25">
      <c r="A41">
        <v>40</v>
      </c>
      <c r="B41" t="s">
        <v>122</v>
      </c>
      <c r="C41">
        <v>0</v>
      </c>
      <c r="D41" t="s">
        <v>123</v>
      </c>
      <c r="E41" t="s">
        <v>124</v>
      </c>
      <c r="F41" s="1">
        <v>1.3465277777777778</v>
      </c>
      <c r="G41" s="2">
        <v>0.13402777777777777</v>
      </c>
      <c r="H41" s="6"/>
      <c r="I41" s="4">
        <f t="shared" si="9"/>
        <v>2000</v>
      </c>
      <c r="J41" s="5">
        <f t="shared" si="4"/>
        <v>1939</v>
      </c>
      <c r="K41" s="5">
        <f t="shared" si="5"/>
        <v>193</v>
      </c>
      <c r="L41" t="str">
        <f t="shared" si="10"/>
        <v>Benz</v>
      </c>
      <c r="M41" t="str">
        <f t="shared" si="11"/>
        <v>Fabian</v>
      </c>
      <c r="N41" t="str">
        <f t="shared" si="6"/>
        <v>Fabian</v>
      </c>
      <c r="O41" t="str">
        <f t="shared" si="12"/>
        <v>Fabian</v>
      </c>
      <c r="P41" t="str">
        <f t="shared" si="7"/>
        <v>Berneck</v>
      </c>
      <c r="Q41" t="str">
        <f t="shared" si="8"/>
        <v>MILA-Rheintal</v>
      </c>
      <c r="S41">
        <v>40</v>
      </c>
      <c r="T41" t="s">
        <v>309</v>
      </c>
      <c r="U41" t="s">
        <v>401</v>
      </c>
      <c r="V41">
        <v>2000</v>
      </c>
      <c r="W41" t="s">
        <v>123</v>
      </c>
      <c r="X41" t="s">
        <v>473</v>
      </c>
      <c r="Y41">
        <v>1939</v>
      </c>
      <c r="Z41">
        <v>193</v>
      </c>
    </row>
    <row r="42" spans="1:26" x14ac:dyDescent="0.25">
      <c r="A42">
        <v>41</v>
      </c>
      <c r="B42" t="s">
        <v>125</v>
      </c>
      <c r="C42">
        <v>0</v>
      </c>
      <c r="D42" t="s">
        <v>126</v>
      </c>
      <c r="E42" t="s">
        <v>127</v>
      </c>
      <c r="F42" s="1">
        <v>1.3493055555555555</v>
      </c>
      <c r="G42" s="2">
        <v>0.13402777777777777</v>
      </c>
      <c r="H42" s="6"/>
      <c r="I42" s="4">
        <f t="shared" si="9"/>
        <v>2000</v>
      </c>
      <c r="J42" s="5">
        <f t="shared" si="4"/>
        <v>1943</v>
      </c>
      <c r="K42" s="5">
        <f t="shared" si="5"/>
        <v>193</v>
      </c>
      <c r="L42" t="str">
        <f t="shared" si="10"/>
        <v>Rotzetter</v>
      </c>
      <c r="M42" t="str">
        <f t="shared" si="11"/>
        <v>Marc</v>
      </c>
      <c r="N42" t="str">
        <f t="shared" si="6"/>
        <v>Marc</v>
      </c>
      <c r="O42" t="str">
        <f t="shared" si="12"/>
        <v>Marc</v>
      </c>
      <c r="P42" t="str">
        <f t="shared" si="7"/>
        <v>Rechthalten</v>
      </c>
      <c r="Q42" t="str">
        <f t="shared" si="8"/>
        <v>Athletic-Team-Rechthalten</v>
      </c>
      <c r="S42">
        <v>41</v>
      </c>
      <c r="T42" t="s">
        <v>310</v>
      </c>
      <c r="U42" t="s">
        <v>402</v>
      </c>
      <c r="V42">
        <v>2000</v>
      </c>
      <c r="W42" t="s">
        <v>126</v>
      </c>
      <c r="X42" t="s">
        <v>474</v>
      </c>
      <c r="Y42">
        <v>1943</v>
      </c>
      <c r="Z42">
        <v>193</v>
      </c>
    </row>
    <row r="43" spans="1:26" x14ac:dyDescent="0.25">
      <c r="A43">
        <v>42</v>
      </c>
      <c r="B43" t="s">
        <v>128</v>
      </c>
      <c r="C43">
        <v>75</v>
      </c>
      <c r="D43" t="s">
        <v>129</v>
      </c>
      <c r="E43" t="s">
        <v>130</v>
      </c>
      <c r="F43" s="1">
        <v>1.35</v>
      </c>
      <c r="G43" s="2">
        <v>0.13472222222222222</v>
      </c>
      <c r="H43" s="6"/>
      <c r="I43" s="4">
        <f t="shared" si="9"/>
        <v>1975</v>
      </c>
      <c r="J43" s="5">
        <f t="shared" si="4"/>
        <v>1944</v>
      </c>
      <c r="K43" s="5">
        <f t="shared" si="5"/>
        <v>194</v>
      </c>
      <c r="L43" t="str">
        <f t="shared" si="10"/>
        <v>Jauch</v>
      </c>
      <c r="M43" t="str">
        <f t="shared" si="11"/>
        <v>Manfred</v>
      </c>
      <c r="N43" t="str">
        <f t="shared" si="6"/>
        <v>Manfred</v>
      </c>
      <c r="O43" t="str">
        <f t="shared" si="12"/>
        <v>Manfred</v>
      </c>
      <c r="P43" t="str">
        <f t="shared" si="7"/>
        <v>Altdorf</v>
      </c>
      <c r="Q43" t="str">
        <f t="shared" si="8"/>
        <v>LC-Altdorf</v>
      </c>
      <c r="S43">
        <v>42</v>
      </c>
      <c r="T43" t="s">
        <v>311</v>
      </c>
      <c r="U43" t="s">
        <v>403</v>
      </c>
      <c r="V43">
        <v>1975</v>
      </c>
      <c r="W43" t="s">
        <v>129</v>
      </c>
      <c r="X43" t="s">
        <v>475</v>
      </c>
      <c r="Y43">
        <v>1944</v>
      </c>
      <c r="Z43">
        <v>194</v>
      </c>
    </row>
    <row r="44" spans="1:26" x14ac:dyDescent="0.25">
      <c r="A44">
        <v>43</v>
      </c>
      <c r="B44" t="s">
        <v>131</v>
      </c>
      <c r="C44">
        <v>93</v>
      </c>
      <c r="D44" t="s">
        <v>132</v>
      </c>
      <c r="E44" t="s">
        <v>18</v>
      </c>
      <c r="F44" s="1">
        <v>1.3548611111111111</v>
      </c>
      <c r="G44" s="2">
        <v>0.13472222222222222</v>
      </c>
      <c r="H44" s="6"/>
      <c r="I44" s="4">
        <f t="shared" si="9"/>
        <v>1993</v>
      </c>
      <c r="J44" s="5">
        <f t="shared" si="4"/>
        <v>1951</v>
      </c>
      <c r="K44" s="5">
        <f t="shared" si="5"/>
        <v>194</v>
      </c>
      <c r="L44" t="str">
        <f t="shared" si="10"/>
        <v>Gossauer</v>
      </c>
      <c r="M44" t="str">
        <f t="shared" si="11"/>
        <v>Jens-Michael</v>
      </c>
      <c r="N44" t="str">
        <f t="shared" si="6"/>
        <v>Jens-Michael</v>
      </c>
      <c r="O44" t="str">
        <f t="shared" si="12"/>
        <v>Jens-Michael</v>
      </c>
      <c r="P44" t="str">
        <f t="shared" si="7"/>
        <v>Jona</v>
      </c>
      <c r="Q44" t="str">
        <f t="shared" si="8"/>
        <v>LC-Uster</v>
      </c>
      <c r="S44">
        <v>43</v>
      </c>
      <c r="T44" t="s">
        <v>312</v>
      </c>
      <c r="U44" t="s">
        <v>404</v>
      </c>
      <c r="V44">
        <v>1993</v>
      </c>
      <c r="W44" t="s">
        <v>132</v>
      </c>
      <c r="X44" t="s">
        <v>448</v>
      </c>
      <c r="Y44">
        <v>1951</v>
      </c>
      <c r="Z44">
        <v>194</v>
      </c>
    </row>
    <row r="45" spans="1:26" x14ac:dyDescent="0.25">
      <c r="A45">
        <v>44</v>
      </c>
      <c r="B45" t="s">
        <v>133</v>
      </c>
      <c r="C45">
        <v>92</v>
      </c>
      <c r="D45" t="s">
        <v>134</v>
      </c>
      <c r="E45" t="s">
        <v>135</v>
      </c>
      <c r="F45" s="1">
        <v>1.35625</v>
      </c>
      <c r="G45" s="2">
        <v>0.13541666666666666</v>
      </c>
      <c r="H45" s="6"/>
      <c r="I45" s="4">
        <f t="shared" si="9"/>
        <v>1992</v>
      </c>
      <c r="J45" s="5">
        <f t="shared" si="4"/>
        <v>1953</v>
      </c>
      <c r="K45" s="5">
        <f t="shared" si="5"/>
        <v>195</v>
      </c>
      <c r="L45" t="str">
        <f t="shared" si="10"/>
        <v>Baggenstos</v>
      </c>
      <c r="M45" t="str">
        <f t="shared" si="11"/>
        <v>Tobias</v>
      </c>
      <c r="N45" t="str">
        <f t="shared" si="6"/>
        <v>Tobias</v>
      </c>
      <c r="O45" t="str">
        <f t="shared" si="12"/>
        <v>Tobias</v>
      </c>
      <c r="P45" t="str">
        <f t="shared" si="7"/>
        <v>Gersau</v>
      </c>
      <c r="Q45" t="str">
        <f t="shared" si="8"/>
        <v>Brooks-Trail-Runners</v>
      </c>
      <c r="S45">
        <v>44</v>
      </c>
      <c r="T45" t="s">
        <v>313</v>
      </c>
      <c r="U45" t="s">
        <v>405</v>
      </c>
      <c r="V45">
        <v>1992</v>
      </c>
      <c r="W45" t="s">
        <v>134</v>
      </c>
      <c r="X45" t="s">
        <v>476</v>
      </c>
      <c r="Y45">
        <v>1953</v>
      </c>
      <c r="Z45">
        <v>195</v>
      </c>
    </row>
    <row r="46" spans="1:26" x14ac:dyDescent="0.25">
      <c r="A46">
        <v>45</v>
      </c>
      <c r="B46" t="s">
        <v>136</v>
      </c>
      <c r="C46">
        <v>87</v>
      </c>
      <c r="D46" t="s">
        <v>137</v>
      </c>
      <c r="F46" s="1">
        <v>1.3569444444444445</v>
      </c>
      <c r="G46" s="2">
        <v>0.13541666666666666</v>
      </c>
      <c r="H46" s="6"/>
      <c r="I46" s="4">
        <f t="shared" si="9"/>
        <v>1987</v>
      </c>
      <c r="J46" s="5">
        <f t="shared" si="4"/>
        <v>1954</v>
      </c>
      <c r="K46" s="5">
        <f t="shared" si="5"/>
        <v>195</v>
      </c>
      <c r="L46" t="str">
        <f t="shared" si="10"/>
        <v>Josef</v>
      </c>
      <c r="M46" t="str">
        <f t="shared" si="11"/>
        <v>Raphael</v>
      </c>
      <c r="N46" t="str">
        <f t="shared" si="6"/>
        <v>Raphael</v>
      </c>
      <c r="O46" t="str">
        <f t="shared" si="12"/>
        <v>Raphael</v>
      </c>
      <c r="P46" t="str">
        <f t="shared" si="7"/>
        <v>Bronschhofen</v>
      </c>
      <c r="Q46" t="str">
        <f t="shared" si="8"/>
        <v/>
      </c>
      <c r="S46">
        <v>45</v>
      </c>
      <c r="T46" t="s">
        <v>314</v>
      </c>
      <c r="U46" t="s">
        <v>406</v>
      </c>
      <c r="V46">
        <v>1987</v>
      </c>
      <c r="W46" t="s">
        <v>137</v>
      </c>
      <c r="X46" t="s">
        <v>465</v>
      </c>
      <c r="Y46">
        <v>1954</v>
      </c>
      <c r="Z46">
        <v>195</v>
      </c>
    </row>
    <row r="47" spans="1:26" x14ac:dyDescent="0.25">
      <c r="A47">
        <v>46</v>
      </c>
      <c r="B47" t="s">
        <v>138</v>
      </c>
      <c r="C47">
        <v>99</v>
      </c>
      <c r="D47" t="s">
        <v>139</v>
      </c>
      <c r="E47" t="s">
        <v>140</v>
      </c>
      <c r="F47" s="1">
        <v>1.3576388888888888</v>
      </c>
      <c r="G47" s="2">
        <v>0.13541666666666666</v>
      </c>
      <c r="H47" s="6"/>
      <c r="I47" s="4">
        <f t="shared" si="9"/>
        <v>1999</v>
      </c>
      <c r="J47" s="5">
        <f t="shared" si="4"/>
        <v>1955</v>
      </c>
      <c r="K47" s="5">
        <f t="shared" si="5"/>
        <v>195</v>
      </c>
      <c r="L47" t="str">
        <f t="shared" si="10"/>
        <v>Torche</v>
      </c>
      <c r="M47" t="str">
        <f t="shared" si="11"/>
        <v>Julien</v>
      </c>
      <c r="N47" t="str">
        <f t="shared" si="6"/>
        <v>Julien</v>
      </c>
      <c r="O47" t="str">
        <f t="shared" si="12"/>
        <v>Julien</v>
      </c>
      <c r="P47" t="str">
        <f t="shared" si="7"/>
        <v>Tentlingen</v>
      </c>
      <c r="Q47" t="str">
        <f t="shared" si="8"/>
        <v>SA-Bulle</v>
      </c>
      <c r="S47">
        <v>46</v>
      </c>
      <c r="T47" t="s">
        <v>315</v>
      </c>
      <c r="U47" t="s">
        <v>386</v>
      </c>
      <c r="V47">
        <v>1999</v>
      </c>
      <c r="W47" t="s">
        <v>139</v>
      </c>
      <c r="X47" t="s">
        <v>477</v>
      </c>
      <c r="Y47">
        <v>1955</v>
      </c>
      <c r="Z47">
        <v>195</v>
      </c>
    </row>
    <row r="48" spans="1:26" x14ac:dyDescent="0.25">
      <c r="A48">
        <v>47</v>
      </c>
      <c r="B48" t="s">
        <v>141</v>
      </c>
      <c r="C48">
        <v>87</v>
      </c>
      <c r="D48" t="s">
        <v>142</v>
      </c>
      <c r="E48" t="s">
        <v>15</v>
      </c>
      <c r="F48" s="1">
        <v>1.3583333333333334</v>
      </c>
      <c r="G48" s="2">
        <v>0.13541666666666666</v>
      </c>
      <c r="H48" s="6"/>
      <c r="I48" s="4">
        <f t="shared" si="9"/>
        <v>1987</v>
      </c>
      <c r="J48" s="5">
        <f t="shared" si="4"/>
        <v>1956</v>
      </c>
      <c r="K48" s="5">
        <f t="shared" si="5"/>
        <v>195</v>
      </c>
      <c r="L48" t="str">
        <f t="shared" si="10"/>
        <v>Pinto</v>
      </c>
      <c r="M48" t="str">
        <f t="shared" si="11"/>
        <v>Ricardo</v>
      </c>
      <c r="N48" t="str">
        <f t="shared" si="6"/>
        <v>Ricardo</v>
      </c>
      <c r="O48" t="str">
        <f t="shared" si="12"/>
        <v>Ricardo</v>
      </c>
      <c r="P48" t="str">
        <f t="shared" si="7"/>
        <v>Veyrier</v>
      </c>
      <c r="Q48" t="str">
        <f t="shared" si="8"/>
        <v>Stade-Genève</v>
      </c>
      <c r="S48">
        <v>47</v>
      </c>
      <c r="T48" t="s">
        <v>316</v>
      </c>
      <c r="U48" t="s">
        <v>407</v>
      </c>
      <c r="V48">
        <v>1987</v>
      </c>
      <c r="W48" t="s">
        <v>142</v>
      </c>
      <c r="X48" t="s">
        <v>447</v>
      </c>
      <c r="Y48">
        <v>1956</v>
      </c>
      <c r="Z48">
        <v>195</v>
      </c>
    </row>
    <row r="49" spans="1:26" x14ac:dyDescent="0.25">
      <c r="A49">
        <v>48</v>
      </c>
      <c r="B49" t="s">
        <v>143</v>
      </c>
      <c r="C49">
        <v>1</v>
      </c>
      <c r="D49" t="s">
        <v>144</v>
      </c>
      <c r="E49" t="s">
        <v>145</v>
      </c>
      <c r="F49" s="1">
        <v>1.3604166666666666</v>
      </c>
      <c r="G49" s="2">
        <v>0.13541666666666666</v>
      </c>
      <c r="H49" s="6"/>
      <c r="I49" s="4">
        <f t="shared" si="9"/>
        <v>2001</v>
      </c>
      <c r="J49" s="5">
        <f t="shared" si="4"/>
        <v>1959</v>
      </c>
      <c r="K49" s="5">
        <f t="shared" si="5"/>
        <v>195</v>
      </c>
      <c r="L49" t="str">
        <f t="shared" si="10"/>
        <v>Gilliéron</v>
      </c>
      <c r="M49" t="str">
        <f t="shared" si="11"/>
        <v>Clément</v>
      </c>
      <c r="N49" t="str">
        <f t="shared" si="6"/>
        <v>Clément</v>
      </c>
      <c r="O49" t="str">
        <f t="shared" si="12"/>
        <v>Clément</v>
      </c>
      <c r="P49" t="str">
        <f t="shared" si="7"/>
        <v>Cossonay</v>
      </c>
      <c r="Q49" t="str">
        <f t="shared" si="8"/>
        <v>Athle.ch-Club</v>
      </c>
      <c r="S49">
        <v>48</v>
      </c>
      <c r="T49" t="s">
        <v>317</v>
      </c>
      <c r="U49" t="s">
        <v>408</v>
      </c>
      <c r="V49">
        <v>2001</v>
      </c>
      <c r="W49" t="s">
        <v>144</v>
      </c>
      <c r="X49" t="s">
        <v>478</v>
      </c>
      <c r="Y49">
        <v>1959</v>
      </c>
      <c r="Z49">
        <v>195</v>
      </c>
    </row>
    <row r="50" spans="1:26" x14ac:dyDescent="0.25">
      <c r="A50">
        <v>49</v>
      </c>
      <c r="B50" t="s">
        <v>146</v>
      </c>
      <c r="C50">
        <v>84</v>
      </c>
      <c r="D50" t="s">
        <v>147</v>
      </c>
      <c r="E50" t="s">
        <v>148</v>
      </c>
      <c r="F50" s="1">
        <v>1.367361111111111</v>
      </c>
      <c r="G50" s="2">
        <v>0.1361111111111111</v>
      </c>
      <c r="H50" s="6"/>
      <c r="I50" s="4">
        <f t="shared" si="9"/>
        <v>1984</v>
      </c>
      <c r="J50" s="5">
        <f t="shared" si="4"/>
        <v>1969</v>
      </c>
      <c r="K50" s="5">
        <f t="shared" si="5"/>
        <v>196</v>
      </c>
      <c r="L50" t="str">
        <f t="shared" si="10"/>
        <v>Marti</v>
      </c>
      <c r="M50" t="str">
        <f t="shared" si="11"/>
        <v>Sven</v>
      </c>
      <c r="N50" t="str">
        <f t="shared" si="6"/>
        <v>Sven</v>
      </c>
      <c r="O50" t="str">
        <f t="shared" si="12"/>
        <v>Sven</v>
      </c>
      <c r="P50" t="str">
        <f t="shared" si="7"/>
        <v>Buochs</v>
      </c>
      <c r="Q50" t="str">
        <f t="shared" si="8"/>
        <v>LA-Nidwalden</v>
      </c>
      <c r="S50">
        <v>49</v>
      </c>
      <c r="T50" t="s">
        <v>305</v>
      </c>
      <c r="U50" t="s">
        <v>409</v>
      </c>
      <c r="V50">
        <v>1984</v>
      </c>
      <c r="W50" t="s">
        <v>147</v>
      </c>
      <c r="X50" t="s">
        <v>479</v>
      </c>
      <c r="Y50">
        <v>1969</v>
      </c>
      <c r="Z50">
        <v>196</v>
      </c>
    </row>
    <row r="51" spans="1:26" x14ac:dyDescent="0.25">
      <c r="A51">
        <v>50</v>
      </c>
      <c r="B51" t="s">
        <v>149</v>
      </c>
      <c r="C51">
        <v>95</v>
      </c>
      <c r="D51" t="s">
        <v>21</v>
      </c>
      <c r="E51" t="s">
        <v>86</v>
      </c>
      <c r="F51" s="1">
        <v>1.3694444444444445</v>
      </c>
      <c r="G51" s="2">
        <v>0.1361111111111111</v>
      </c>
      <c r="H51" s="6"/>
      <c r="I51" s="4">
        <f t="shared" si="9"/>
        <v>1995</v>
      </c>
      <c r="J51" s="5">
        <f t="shared" si="4"/>
        <v>1972</v>
      </c>
      <c r="K51" s="5">
        <f t="shared" si="5"/>
        <v>196</v>
      </c>
      <c r="L51" t="str">
        <f t="shared" si="10"/>
        <v>Leugger</v>
      </c>
      <c r="M51" t="str">
        <f t="shared" si="11"/>
        <v>Flurin</v>
      </c>
      <c r="N51" t="str">
        <f t="shared" si="6"/>
        <v>Flurin</v>
      </c>
      <c r="O51" t="str">
        <f t="shared" si="12"/>
        <v>Flurin</v>
      </c>
      <c r="P51" t="str">
        <f t="shared" si="7"/>
        <v>Zürich</v>
      </c>
      <c r="Q51" t="str">
        <f t="shared" si="8"/>
        <v>LC-Basel</v>
      </c>
      <c r="S51">
        <v>50</v>
      </c>
      <c r="T51" t="s">
        <v>318</v>
      </c>
      <c r="U51" t="s">
        <v>410</v>
      </c>
      <c r="V51">
        <v>1995</v>
      </c>
      <c r="W51" t="s">
        <v>21</v>
      </c>
      <c r="X51" t="s">
        <v>462</v>
      </c>
      <c r="Y51">
        <v>1972</v>
      </c>
      <c r="Z51">
        <v>196</v>
      </c>
    </row>
    <row r="52" spans="1:26" x14ac:dyDescent="0.25">
      <c r="A52">
        <v>51</v>
      </c>
      <c r="B52" t="s">
        <v>150</v>
      </c>
      <c r="C52">
        <v>3</v>
      </c>
      <c r="D52" t="s">
        <v>151</v>
      </c>
      <c r="E52" t="s">
        <v>152</v>
      </c>
      <c r="F52" s="1">
        <v>1.3722222222222222</v>
      </c>
      <c r="G52" s="2">
        <v>0.13680555555555557</v>
      </c>
      <c r="H52" s="6"/>
      <c r="I52" s="4">
        <f t="shared" si="9"/>
        <v>2003</v>
      </c>
      <c r="J52" s="5">
        <f t="shared" si="4"/>
        <v>1976</v>
      </c>
      <c r="K52" s="5">
        <f t="shared" si="5"/>
        <v>197</v>
      </c>
      <c r="L52" t="str">
        <f t="shared" si="10"/>
        <v>Schnider</v>
      </c>
      <c r="M52" t="str">
        <f t="shared" si="11"/>
        <v>Lars</v>
      </c>
      <c r="N52" t="str">
        <f t="shared" si="6"/>
        <v>Lars</v>
      </c>
      <c r="O52" t="str">
        <f t="shared" si="12"/>
        <v>Lars</v>
      </c>
      <c r="P52" t="str">
        <f t="shared" si="7"/>
        <v>Lohn-Ammannsegg</v>
      </c>
      <c r="Q52" t="str">
        <f t="shared" si="8"/>
        <v>STB</v>
      </c>
      <c r="S52">
        <v>51</v>
      </c>
      <c r="T52" t="s">
        <v>319</v>
      </c>
      <c r="U52" t="s">
        <v>411</v>
      </c>
      <c r="V52">
        <v>2003</v>
      </c>
      <c r="W52" t="s">
        <v>151</v>
      </c>
      <c r="X52" t="s">
        <v>152</v>
      </c>
      <c r="Y52">
        <v>1976</v>
      </c>
      <c r="Z52">
        <v>197</v>
      </c>
    </row>
    <row r="53" spans="1:26" x14ac:dyDescent="0.25">
      <c r="A53">
        <v>52</v>
      </c>
      <c r="B53" t="s">
        <v>153</v>
      </c>
      <c r="C53">
        <v>2</v>
      </c>
      <c r="D53" t="s">
        <v>154</v>
      </c>
      <c r="E53" t="s">
        <v>18</v>
      </c>
      <c r="F53" s="1">
        <v>1.3743055555555554</v>
      </c>
      <c r="G53" s="2">
        <v>0.13680555555555557</v>
      </c>
      <c r="H53" s="6"/>
      <c r="I53" s="4">
        <f t="shared" si="9"/>
        <v>2002</v>
      </c>
      <c r="J53" s="5">
        <f t="shared" si="4"/>
        <v>1979</v>
      </c>
      <c r="K53" s="5">
        <f t="shared" si="5"/>
        <v>197</v>
      </c>
      <c r="L53" t="str">
        <f t="shared" si="10"/>
        <v>Rüttimann</v>
      </c>
      <c r="M53" t="str">
        <f t="shared" si="11"/>
        <v>Cyrill</v>
      </c>
      <c r="N53" t="str">
        <f t="shared" si="6"/>
        <v>Cyrill</v>
      </c>
      <c r="O53" t="str">
        <f t="shared" si="12"/>
        <v>Cyrill</v>
      </c>
      <c r="P53" t="str">
        <f t="shared" si="7"/>
        <v>Stäfa</v>
      </c>
      <c r="Q53" t="str">
        <f t="shared" si="8"/>
        <v>LC-Uster</v>
      </c>
      <c r="S53">
        <v>52</v>
      </c>
      <c r="T53" t="s">
        <v>272</v>
      </c>
      <c r="U53" t="s">
        <v>412</v>
      </c>
      <c r="V53">
        <v>2002</v>
      </c>
      <c r="W53" t="s">
        <v>154</v>
      </c>
      <c r="X53" t="s">
        <v>448</v>
      </c>
      <c r="Y53">
        <v>1979</v>
      </c>
      <c r="Z53">
        <v>197</v>
      </c>
    </row>
    <row r="54" spans="1:26" x14ac:dyDescent="0.25">
      <c r="A54">
        <v>53</v>
      </c>
      <c r="B54" t="s">
        <v>155</v>
      </c>
      <c r="C54">
        <v>98</v>
      </c>
      <c r="D54" t="s">
        <v>156</v>
      </c>
      <c r="E54" t="s">
        <v>157</v>
      </c>
      <c r="F54" s="1">
        <v>1.3763888888888889</v>
      </c>
      <c r="G54" s="2">
        <v>0.13750000000000001</v>
      </c>
      <c r="H54" s="6"/>
      <c r="I54" s="4">
        <f t="shared" si="9"/>
        <v>1998</v>
      </c>
      <c r="J54" s="5">
        <f t="shared" si="4"/>
        <v>1982</v>
      </c>
      <c r="K54" s="5">
        <f t="shared" si="5"/>
        <v>198</v>
      </c>
      <c r="L54" t="str">
        <f t="shared" si="10"/>
        <v>Meyer</v>
      </c>
      <c r="M54" t="str">
        <f t="shared" si="11"/>
        <v>Cedric</v>
      </c>
      <c r="N54" t="str">
        <f t="shared" si="6"/>
        <v>Cedric</v>
      </c>
      <c r="O54" t="str">
        <f t="shared" si="12"/>
        <v>Cedric</v>
      </c>
      <c r="P54" t="str">
        <f t="shared" si="7"/>
        <v>Galgenen</v>
      </c>
      <c r="Q54" t="str">
        <f t="shared" si="8"/>
        <v>TSV-Galgenen</v>
      </c>
      <c r="S54">
        <v>53</v>
      </c>
      <c r="T54" t="s">
        <v>320</v>
      </c>
      <c r="U54" t="s">
        <v>413</v>
      </c>
      <c r="V54">
        <v>1998</v>
      </c>
      <c r="W54" t="s">
        <v>156</v>
      </c>
      <c r="X54" t="s">
        <v>480</v>
      </c>
      <c r="Y54">
        <v>1982</v>
      </c>
      <c r="Z54">
        <v>198</v>
      </c>
    </row>
    <row r="55" spans="1:26" x14ac:dyDescent="0.25">
      <c r="A55">
        <v>54</v>
      </c>
      <c r="B55" t="s">
        <v>158</v>
      </c>
      <c r="C55">
        <v>4</v>
      </c>
      <c r="D55" t="s">
        <v>94</v>
      </c>
      <c r="E55" t="s">
        <v>95</v>
      </c>
      <c r="F55" s="1">
        <v>1.3763888888888889</v>
      </c>
      <c r="G55" s="2">
        <v>0.13680555555555557</v>
      </c>
      <c r="H55" s="6"/>
      <c r="I55" s="4">
        <f t="shared" si="9"/>
        <v>2004</v>
      </c>
      <c r="J55" s="5">
        <f t="shared" si="4"/>
        <v>1982</v>
      </c>
      <c r="K55" s="5">
        <f t="shared" si="5"/>
        <v>197</v>
      </c>
      <c r="L55" t="str">
        <f t="shared" si="10"/>
        <v>Knaus</v>
      </c>
      <c r="M55" t="str">
        <f t="shared" si="11"/>
        <v>David</v>
      </c>
      <c r="N55" t="str">
        <f t="shared" si="6"/>
        <v>David</v>
      </c>
      <c r="O55" t="str">
        <f t="shared" si="12"/>
        <v>David</v>
      </c>
      <c r="P55" t="str">
        <f t="shared" si="7"/>
        <v>Winterthur</v>
      </c>
      <c r="Q55" t="str">
        <f t="shared" si="8"/>
        <v>LV-Winterthur</v>
      </c>
      <c r="S55">
        <v>54</v>
      </c>
      <c r="T55" t="s">
        <v>321</v>
      </c>
      <c r="U55" t="s">
        <v>379</v>
      </c>
      <c r="V55">
        <v>2004</v>
      </c>
      <c r="W55" t="s">
        <v>94</v>
      </c>
      <c r="X55" t="s">
        <v>464</v>
      </c>
      <c r="Y55">
        <v>1982</v>
      </c>
      <c r="Z55">
        <v>197</v>
      </c>
    </row>
    <row r="56" spans="1:26" x14ac:dyDescent="0.25">
      <c r="A56">
        <v>55</v>
      </c>
      <c r="B56" t="s">
        <v>159</v>
      </c>
      <c r="C56">
        <v>98</v>
      </c>
      <c r="D56" t="s">
        <v>160</v>
      </c>
      <c r="E56" t="s">
        <v>18</v>
      </c>
      <c r="F56" s="1">
        <v>1.3770833333333334</v>
      </c>
      <c r="G56" s="2">
        <v>0.13750000000000001</v>
      </c>
      <c r="H56" s="6"/>
      <c r="I56" s="4">
        <f t="shared" si="9"/>
        <v>1998</v>
      </c>
      <c r="J56" s="5">
        <f t="shared" si="4"/>
        <v>1983</v>
      </c>
      <c r="K56" s="5">
        <f t="shared" si="5"/>
        <v>198</v>
      </c>
      <c r="L56" t="str">
        <f t="shared" si="10"/>
        <v>Mayer</v>
      </c>
      <c r="M56" t="str">
        <f t="shared" si="11"/>
        <v>Rey Despenzia Samuel</v>
      </c>
      <c r="N56" t="str">
        <f t="shared" si="6"/>
        <v>Rey-Despenzia-Samuel</v>
      </c>
      <c r="O56" t="str">
        <f t="shared" si="12"/>
        <v>Rey-Despenzia-Samuel</v>
      </c>
      <c r="P56" t="str">
        <f t="shared" si="7"/>
        <v>Birmenstorf</v>
      </c>
      <c r="Q56" t="str">
        <f t="shared" si="8"/>
        <v>LC-Uster</v>
      </c>
      <c r="S56">
        <v>55</v>
      </c>
      <c r="T56" t="s">
        <v>322</v>
      </c>
      <c r="U56" t="s">
        <v>414</v>
      </c>
      <c r="V56">
        <v>1998</v>
      </c>
      <c r="W56" t="s">
        <v>160</v>
      </c>
      <c r="X56" t="s">
        <v>448</v>
      </c>
      <c r="Y56">
        <v>1983</v>
      </c>
      <c r="Z56">
        <v>198</v>
      </c>
    </row>
    <row r="57" spans="1:26" x14ac:dyDescent="0.25">
      <c r="A57">
        <v>56</v>
      </c>
      <c r="B57" t="s">
        <v>161</v>
      </c>
      <c r="C57">
        <v>87</v>
      </c>
      <c r="D57" t="s">
        <v>162</v>
      </c>
      <c r="E57" t="s">
        <v>163</v>
      </c>
      <c r="F57" s="1">
        <v>1.3784722222222223</v>
      </c>
      <c r="G57" s="2">
        <v>0.13750000000000001</v>
      </c>
      <c r="H57" s="6"/>
      <c r="I57" s="4">
        <f t="shared" si="9"/>
        <v>1987</v>
      </c>
      <c r="J57" s="5">
        <f t="shared" si="4"/>
        <v>1985</v>
      </c>
      <c r="K57" s="5">
        <f t="shared" si="5"/>
        <v>198</v>
      </c>
      <c r="L57" t="str">
        <f t="shared" si="10"/>
        <v>Arnold</v>
      </c>
      <c r="M57" t="str">
        <f t="shared" si="11"/>
        <v>Philipp</v>
      </c>
      <c r="N57" t="str">
        <f t="shared" si="6"/>
        <v>Philipp</v>
      </c>
      <c r="O57" t="str">
        <f t="shared" si="12"/>
        <v>Philipp</v>
      </c>
      <c r="P57" t="str">
        <f t="shared" si="7"/>
        <v>Cham</v>
      </c>
      <c r="Q57" t="str">
        <f t="shared" si="8"/>
        <v>LC-Zürich</v>
      </c>
      <c r="S57">
        <v>56</v>
      </c>
      <c r="T57" t="s">
        <v>323</v>
      </c>
      <c r="U57" t="s">
        <v>415</v>
      </c>
      <c r="V57">
        <v>1987</v>
      </c>
      <c r="W57" t="s">
        <v>162</v>
      </c>
      <c r="X57" t="s">
        <v>481</v>
      </c>
      <c r="Y57">
        <v>1985</v>
      </c>
      <c r="Z57">
        <v>198</v>
      </c>
    </row>
    <row r="58" spans="1:26" x14ac:dyDescent="0.25">
      <c r="A58">
        <v>57</v>
      </c>
      <c r="B58" t="s">
        <v>164</v>
      </c>
      <c r="C58">
        <v>79</v>
      </c>
      <c r="D58" t="s">
        <v>165</v>
      </c>
      <c r="E58" t="s">
        <v>66</v>
      </c>
      <c r="F58" s="1">
        <v>1.3812500000000001</v>
      </c>
      <c r="G58" s="2">
        <v>0.13750000000000001</v>
      </c>
      <c r="H58" s="6"/>
      <c r="I58" s="4">
        <f t="shared" si="9"/>
        <v>1979</v>
      </c>
      <c r="J58" s="5">
        <f t="shared" si="4"/>
        <v>1989</v>
      </c>
      <c r="K58" s="5">
        <f t="shared" si="5"/>
        <v>198</v>
      </c>
      <c r="L58" t="str">
        <f t="shared" si="10"/>
        <v>Castiglioni</v>
      </c>
      <c r="M58" t="str">
        <f t="shared" si="11"/>
        <v>Luca</v>
      </c>
      <c r="N58" t="str">
        <f t="shared" si="6"/>
        <v>Luca</v>
      </c>
      <c r="O58" t="str">
        <f t="shared" si="12"/>
        <v>Luca</v>
      </c>
      <c r="P58" t="str">
        <f t="shared" si="7"/>
        <v>Thalwil</v>
      </c>
      <c r="Q58" t="str">
        <f t="shared" si="8"/>
        <v>TV-Oerlikon</v>
      </c>
      <c r="S58">
        <v>57</v>
      </c>
      <c r="T58" t="s">
        <v>324</v>
      </c>
      <c r="U58" t="s">
        <v>368</v>
      </c>
      <c r="V58">
        <v>1979</v>
      </c>
      <c r="W58" t="s">
        <v>165</v>
      </c>
      <c r="X58" t="s">
        <v>457</v>
      </c>
      <c r="Y58">
        <v>1989</v>
      </c>
      <c r="Z58">
        <v>198</v>
      </c>
    </row>
    <row r="59" spans="1:26" x14ac:dyDescent="0.25">
      <c r="A59">
        <v>58</v>
      </c>
      <c r="B59" t="s">
        <v>166</v>
      </c>
      <c r="C59">
        <v>92</v>
      </c>
      <c r="D59" t="s">
        <v>167</v>
      </c>
      <c r="E59" t="s">
        <v>163</v>
      </c>
      <c r="F59" s="1">
        <v>1.3840277777777779</v>
      </c>
      <c r="G59" s="2">
        <v>0.13750000000000001</v>
      </c>
      <c r="H59" s="6"/>
      <c r="I59" s="4">
        <f t="shared" si="9"/>
        <v>1992</v>
      </c>
      <c r="J59" s="5">
        <f t="shared" si="4"/>
        <v>1993</v>
      </c>
      <c r="K59" s="5">
        <f t="shared" si="5"/>
        <v>198</v>
      </c>
      <c r="L59" t="str">
        <f t="shared" si="10"/>
        <v>Kostyuchenko</v>
      </c>
      <c r="M59" t="str">
        <f t="shared" si="11"/>
        <v>Nikita</v>
      </c>
      <c r="N59" t="str">
        <f t="shared" si="6"/>
        <v>Nikita</v>
      </c>
      <c r="O59" t="str">
        <f t="shared" si="12"/>
        <v>Nikita</v>
      </c>
      <c r="P59" t="str">
        <f t="shared" si="7"/>
        <v>Lufingen</v>
      </c>
      <c r="Q59" t="str">
        <f t="shared" si="8"/>
        <v>LC-Zürich</v>
      </c>
      <c r="S59">
        <v>58</v>
      </c>
      <c r="T59" t="s">
        <v>325</v>
      </c>
      <c r="U59" t="s">
        <v>416</v>
      </c>
      <c r="V59">
        <v>1992</v>
      </c>
      <c r="W59" t="s">
        <v>167</v>
      </c>
      <c r="X59" t="s">
        <v>481</v>
      </c>
      <c r="Y59">
        <v>1993</v>
      </c>
      <c r="Z59">
        <v>198</v>
      </c>
    </row>
    <row r="60" spans="1:26" x14ac:dyDescent="0.25">
      <c r="A60">
        <v>59</v>
      </c>
      <c r="B60" t="s">
        <v>168</v>
      </c>
      <c r="C60">
        <v>1</v>
      </c>
      <c r="D60" t="s">
        <v>29</v>
      </c>
      <c r="E60" t="s">
        <v>113</v>
      </c>
      <c r="F60" s="1">
        <v>1.3840277777777779</v>
      </c>
      <c r="G60" s="2">
        <v>0.13750000000000001</v>
      </c>
      <c r="H60" s="6"/>
      <c r="I60" s="4">
        <f t="shared" si="9"/>
        <v>2001</v>
      </c>
      <c r="J60" s="5">
        <f t="shared" si="4"/>
        <v>1993</v>
      </c>
      <c r="K60" s="5">
        <f t="shared" si="5"/>
        <v>198</v>
      </c>
      <c r="L60" t="str">
        <f t="shared" si="10"/>
        <v>Stuker</v>
      </c>
      <c r="M60" t="str">
        <f t="shared" si="11"/>
        <v>Leo</v>
      </c>
      <c r="N60" t="str">
        <f t="shared" si="6"/>
        <v>Leo</v>
      </c>
      <c r="O60" t="str">
        <f t="shared" si="12"/>
        <v>Leo</v>
      </c>
      <c r="P60" t="str">
        <f t="shared" si="7"/>
        <v>Bern</v>
      </c>
      <c r="Q60" t="str">
        <f t="shared" si="8"/>
        <v>TV-Länggasse</v>
      </c>
      <c r="S60">
        <v>59</v>
      </c>
      <c r="T60" t="s">
        <v>326</v>
      </c>
      <c r="U60" t="s">
        <v>417</v>
      </c>
      <c r="V60">
        <v>2001</v>
      </c>
      <c r="W60" t="s">
        <v>29</v>
      </c>
      <c r="X60" t="s">
        <v>470</v>
      </c>
      <c r="Y60">
        <v>1993</v>
      </c>
      <c r="Z60">
        <v>198</v>
      </c>
    </row>
    <row r="61" spans="1:26" x14ac:dyDescent="0.25">
      <c r="A61">
        <v>60</v>
      </c>
      <c r="B61" t="s">
        <v>169</v>
      </c>
      <c r="C61">
        <v>95</v>
      </c>
      <c r="D61" t="s">
        <v>170</v>
      </c>
      <c r="E61" t="s">
        <v>171</v>
      </c>
      <c r="F61" s="1">
        <v>1.3868055555555556</v>
      </c>
      <c r="G61" s="2">
        <v>0.13819444444444445</v>
      </c>
      <c r="H61" s="6"/>
      <c r="I61" s="4">
        <f t="shared" si="9"/>
        <v>1995</v>
      </c>
      <c r="J61" s="5">
        <f t="shared" si="4"/>
        <v>1997</v>
      </c>
      <c r="K61" s="5">
        <f t="shared" si="5"/>
        <v>199</v>
      </c>
      <c r="L61" t="str">
        <f t="shared" si="10"/>
        <v>Werder</v>
      </c>
      <c r="M61" t="str">
        <f t="shared" si="11"/>
        <v>Dario</v>
      </c>
      <c r="N61" t="str">
        <f t="shared" si="6"/>
        <v>Dario</v>
      </c>
      <c r="O61" t="str">
        <f t="shared" si="12"/>
        <v>Dario</v>
      </c>
      <c r="P61" t="str">
        <f t="shared" si="7"/>
        <v>Frauenfeld</v>
      </c>
      <c r="Q61" t="str">
        <f t="shared" si="8"/>
        <v>LC-Frauenfeld</v>
      </c>
      <c r="S61">
        <v>60</v>
      </c>
      <c r="T61" t="s">
        <v>327</v>
      </c>
      <c r="U61" t="s">
        <v>418</v>
      </c>
      <c r="V61">
        <v>1995</v>
      </c>
      <c r="W61" t="s">
        <v>170</v>
      </c>
      <c r="X61" t="s">
        <v>482</v>
      </c>
      <c r="Y61">
        <v>1997</v>
      </c>
      <c r="Z61">
        <v>199</v>
      </c>
    </row>
    <row r="62" spans="1:26" x14ac:dyDescent="0.25">
      <c r="A62">
        <v>61</v>
      </c>
      <c r="B62" t="s">
        <v>172</v>
      </c>
      <c r="C62">
        <v>95</v>
      </c>
      <c r="D62" t="s">
        <v>173</v>
      </c>
      <c r="E62" t="s">
        <v>66</v>
      </c>
      <c r="F62" s="1">
        <v>1.3895833333333334</v>
      </c>
      <c r="G62" s="2">
        <v>0.13819444444444445</v>
      </c>
      <c r="H62" s="6"/>
      <c r="I62" s="4">
        <f t="shared" si="9"/>
        <v>1995</v>
      </c>
      <c r="J62" s="5">
        <f t="shared" si="4"/>
        <v>2001</v>
      </c>
      <c r="K62" s="5">
        <f t="shared" si="5"/>
        <v>199</v>
      </c>
      <c r="L62" t="str">
        <f t="shared" si="10"/>
        <v>Ott</v>
      </c>
      <c r="M62" t="str">
        <f t="shared" si="11"/>
        <v>Marcel</v>
      </c>
      <c r="N62" t="str">
        <f t="shared" si="6"/>
        <v>Marcel</v>
      </c>
      <c r="O62" t="str">
        <f t="shared" si="12"/>
        <v>Marcel</v>
      </c>
      <c r="P62" t="str">
        <f t="shared" si="7"/>
        <v>Wallisellen</v>
      </c>
      <c r="Q62" t="str">
        <f t="shared" si="8"/>
        <v>TV-Oerlikon</v>
      </c>
      <c r="S62">
        <v>61</v>
      </c>
      <c r="T62" t="s">
        <v>328</v>
      </c>
      <c r="U62" t="s">
        <v>419</v>
      </c>
      <c r="V62">
        <v>1995</v>
      </c>
      <c r="W62" t="s">
        <v>173</v>
      </c>
      <c r="X62" t="s">
        <v>457</v>
      </c>
      <c r="Y62">
        <v>2001</v>
      </c>
      <c r="Z62">
        <v>199</v>
      </c>
    </row>
    <row r="63" spans="1:26" x14ac:dyDescent="0.25">
      <c r="A63">
        <v>62</v>
      </c>
      <c r="B63" t="s">
        <v>174</v>
      </c>
      <c r="C63">
        <v>3</v>
      </c>
      <c r="D63" t="s">
        <v>10</v>
      </c>
      <c r="E63" t="s">
        <v>11</v>
      </c>
      <c r="F63" s="1">
        <v>1.3895833333333334</v>
      </c>
      <c r="G63" s="2">
        <v>0.13819444444444445</v>
      </c>
      <c r="H63" s="6"/>
      <c r="I63" s="4">
        <f t="shared" si="9"/>
        <v>2003</v>
      </c>
      <c r="J63" s="5">
        <f t="shared" si="4"/>
        <v>2001</v>
      </c>
      <c r="K63" s="5">
        <f t="shared" si="5"/>
        <v>199</v>
      </c>
      <c r="L63" t="str">
        <f t="shared" si="10"/>
        <v>Gerber</v>
      </c>
      <c r="M63" t="str">
        <f t="shared" si="11"/>
        <v>Tobias</v>
      </c>
      <c r="N63" t="str">
        <f t="shared" si="6"/>
        <v>Tobias</v>
      </c>
      <c r="O63" t="str">
        <f t="shared" si="12"/>
        <v>Tobias</v>
      </c>
      <c r="P63" t="str">
        <f t="shared" si="7"/>
        <v>St.-Gallen</v>
      </c>
      <c r="Q63" t="str">
        <f t="shared" si="8"/>
        <v>LC-Brühl-Leichtathletik</v>
      </c>
      <c r="S63">
        <v>62</v>
      </c>
      <c r="T63" t="s">
        <v>329</v>
      </c>
      <c r="U63" t="s">
        <v>405</v>
      </c>
      <c r="V63">
        <v>2003</v>
      </c>
      <c r="W63" t="s">
        <v>483</v>
      </c>
      <c r="X63" t="s">
        <v>484</v>
      </c>
      <c r="Y63">
        <v>2001</v>
      </c>
      <c r="Z63">
        <v>199</v>
      </c>
    </row>
    <row r="64" spans="1:26" x14ac:dyDescent="0.25">
      <c r="A64">
        <v>63</v>
      </c>
      <c r="B64" t="s">
        <v>175</v>
      </c>
      <c r="C64">
        <v>96</v>
      </c>
      <c r="D64" t="s">
        <v>72</v>
      </c>
      <c r="E64" t="s">
        <v>73</v>
      </c>
      <c r="F64" s="1">
        <v>1.3895833333333334</v>
      </c>
      <c r="G64" s="2">
        <v>0.13819444444444445</v>
      </c>
      <c r="H64" s="6"/>
      <c r="I64" s="4">
        <f t="shared" si="9"/>
        <v>1996</v>
      </c>
      <c r="J64" s="5">
        <f t="shared" si="4"/>
        <v>2001</v>
      </c>
      <c r="K64" s="5">
        <f t="shared" si="5"/>
        <v>199</v>
      </c>
      <c r="L64" t="str">
        <f t="shared" si="10"/>
        <v>Renner</v>
      </c>
      <c r="M64" t="str">
        <f t="shared" si="11"/>
        <v>Philipp</v>
      </c>
      <c r="N64" t="str">
        <f t="shared" si="6"/>
        <v>Philipp</v>
      </c>
      <c r="O64" t="str">
        <f t="shared" si="12"/>
        <v>Philipp</v>
      </c>
      <c r="P64" t="str">
        <f t="shared" si="7"/>
        <v>Meierskappel</v>
      </c>
      <c r="Q64" t="str">
        <f t="shared" si="8"/>
        <v>TSV-2001-Rotkreuz</v>
      </c>
      <c r="S64">
        <v>63</v>
      </c>
      <c r="T64" t="s">
        <v>288</v>
      </c>
      <c r="U64" t="s">
        <v>415</v>
      </c>
      <c r="V64">
        <v>1996</v>
      </c>
      <c r="W64" t="s">
        <v>72</v>
      </c>
      <c r="X64" t="s">
        <v>458</v>
      </c>
      <c r="Y64">
        <v>2001</v>
      </c>
      <c r="Z64">
        <v>199</v>
      </c>
    </row>
    <row r="65" spans="1:26" x14ac:dyDescent="0.25">
      <c r="A65">
        <v>64</v>
      </c>
      <c r="B65" t="s">
        <v>177</v>
      </c>
      <c r="C65">
        <v>0</v>
      </c>
      <c r="D65" t="s">
        <v>178</v>
      </c>
      <c r="F65" s="1">
        <v>1.3909722222222223</v>
      </c>
      <c r="G65" s="2">
        <v>0.13819444444444445</v>
      </c>
      <c r="H65" s="6"/>
      <c r="I65" s="4">
        <f t="shared" si="9"/>
        <v>2000</v>
      </c>
      <c r="J65" s="5">
        <f t="shared" si="4"/>
        <v>2003</v>
      </c>
      <c r="K65" s="5">
        <f t="shared" si="5"/>
        <v>199</v>
      </c>
      <c r="L65" t="str">
        <f t="shared" si="10"/>
        <v>Maret</v>
      </c>
      <c r="M65" t="str">
        <f t="shared" si="11"/>
        <v>Clément</v>
      </c>
      <c r="N65" t="str">
        <f t="shared" si="6"/>
        <v>Clément</v>
      </c>
      <c r="O65" t="str">
        <f t="shared" si="12"/>
        <v>Clément</v>
      </c>
      <c r="P65" t="str">
        <f t="shared" si="7"/>
        <v>Fully</v>
      </c>
      <c r="Q65" t="str">
        <f t="shared" si="8"/>
        <v/>
      </c>
      <c r="S65">
        <v>64</v>
      </c>
      <c r="T65" t="s">
        <v>330</v>
      </c>
      <c r="U65" t="s">
        <v>408</v>
      </c>
      <c r="V65">
        <v>2000</v>
      </c>
      <c r="W65" t="s">
        <v>178</v>
      </c>
      <c r="X65" t="s">
        <v>465</v>
      </c>
      <c r="Y65">
        <v>2003</v>
      </c>
      <c r="Z65">
        <v>199</v>
      </c>
    </row>
    <row r="66" spans="1:26" x14ac:dyDescent="0.25">
      <c r="A66">
        <v>65</v>
      </c>
      <c r="B66" t="s">
        <v>179</v>
      </c>
      <c r="C66">
        <v>4</v>
      </c>
      <c r="D66" t="s">
        <v>39</v>
      </c>
      <c r="E66" t="s">
        <v>180</v>
      </c>
      <c r="F66" s="1">
        <v>1.3944444444444444</v>
      </c>
      <c r="G66" s="2">
        <v>0.1388888888888889</v>
      </c>
      <c r="H66" s="6"/>
      <c r="I66" s="4">
        <f t="shared" ref="I66:I101" si="13">IF(C66&gt;=20, C66+1900, C66+2000)</f>
        <v>2004</v>
      </c>
      <c r="J66" s="5">
        <f t="shared" si="4"/>
        <v>2008</v>
      </c>
      <c r="K66" s="5">
        <f t="shared" si="5"/>
        <v>200</v>
      </c>
      <c r="L66" t="str">
        <f t="shared" ref="L66:L101" si="14">LEFT(B66, FIND(" ", B66) - 1)</f>
        <v>Maurer</v>
      </c>
      <c r="M66" t="str">
        <f t="shared" ref="M66:M101" si="15">RIGHT(B66, LEN(B66) - FIND(" ", B66))</f>
        <v>Paul</v>
      </c>
      <c r="N66" t="str">
        <f t="shared" si="6"/>
        <v>Paul</v>
      </c>
      <c r="O66" t="str">
        <f t="shared" ref="O66:O101" si="16">SUBSTITUTE(RIGHT(B66, LEN(B66) - FIND(" ", B66)), " ", "-")</f>
        <v>Paul</v>
      </c>
      <c r="P66" t="str">
        <f t="shared" si="7"/>
        <v>Genève</v>
      </c>
      <c r="Q66" t="str">
        <f t="shared" si="8"/>
        <v>AVG</v>
      </c>
      <c r="S66">
        <v>65</v>
      </c>
      <c r="T66" t="s">
        <v>331</v>
      </c>
      <c r="U66" t="s">
        <v>420</v>
      </c>
      <c r="V66">
        <v>2004</v>
      </c>
      <c r="W66" t="s">
        <v>39</v>
      </c>
      <c r="X66" t="s">
        <v>180</v>
      </c>
      <c r="Y66">
        <v>2008</v>
      </c>
      <c r="Z66">
        <v>200</v>
      </c>
    </row>
    <row r="67" spans="1:26" x14ac:dyDescent="0.25">
      <c r="A67">
        <v>66</v>
      </c>
      <c r="B67" t="s">
        <v>181</v>
      </c>
      <c r="C67">
        <v>76</v>
      </c>
      <c r="D67" t="s">
        <v>132</v>
      </c>
      <c r="E67" t="s">
        <v>66</v>
      </c>
      <c r="F67" s="1">
        <v>1.3951388888888889</v>
      </c>
      <c r="G67" s="2">
        <v>0.1388888888888889</v>
      </c>
      <c r="H67" s="6"/>
      <c r="I67" s="4">
        <f t="shared" si="13"/>
        <v>1976</v>
      </c>
      <c r="J67" s="5">
        <f t="shared" ref="J67:J101" si="17">(HOUR(F67)+24)*60 + MINUTE(F67)</f>
        <v>2009</v>
      </c>
      <c r="K67" s="5">
        <f t="shared" ref="K67:K101" si="18">HOUR(G67)*60 + MINUTE(G67)</f>
        <v>200</v>
      </c>
      <c r="L67" t="str">
        <f t="shared" si="14"/>
        <v>Oliver</v>
      </c>
      <c r="M67" t="str">
        <f t="shared" si="15"/>
        <v>Rubén</v>
      </c>
      <c r="N67" t="str">
        <f t="shared" ref="N67:N101" si="19">SUBSTITUTE(M67, " ", "-")</f>
        <v>Rubén</v>
      </c>
      <c r="O67" t="str">
        <f t="shared" si="16"/>
        <v>Rubén</v>
      </c>
      <c r="P67" t="str">
        <f t="shared" ref="P67:P101" si="20">SUBSTITUTE(D67, " ", "-")</f>
        <v>Jona</v>
      </c>
      <c r="Q67" t="str">
        <f t="shared" ref="Q67:Q101" si="21">SUBSTITUTE(E67, " ", "-")</f>
        <v>TV-Oerlikon</v>
      </c>
      <c r="S67">
        <v>66</v>
      </c>
      <c r="T67" t="s">
        <v>332</v>
      </c>
      <c r="U67" t="s">
        <v>421</v>
      </c>
      <c r="V67">
        <v>1976</v>
      </c>
      <c r="W67" t="s">
        <v>132</v>
      </c>
      <c r="X67" t="s">
        <v>457</v>
      </c>
      <c r="Y67">
        <v>2009</v>
      </c>
      <c r="Z67">
        <v>200</v>
      </c>
    </row>
    <row r="68" spans="1:26" x14ac:dyDescent="0.25">
      <c r="A68">
        <v>67</v>
      </c>
      <c r="B68" t="s">
        <v>182</v>
      </c>
      <c r="C68">
        <v>99</v>
      </c>
      <c r="D68" t="s">
        <v>183</v>
      </c>
      <c r="E68" t="s">
        <v>184</v>
      </c>
      <c r="F68" s="1">
        <v>1.3958333333333333</v>
      </c>
      <c r="G68" s="2">
        <v>0.1388888888888889</v>
      </c>
      <c r="H68" s="6"/>
      <c r="I68" s="4">
        <f t="shared" si="13"/>
        <v>1999</v>
      </c>
      <c r="J68" s="5">
        <f t="shared" si="17"/>
        <v>2010</v>
      </c>
      <c r="K68" s="5">
        <f t="shared" si="18"/>
        <v>200</v>
      </c>
      <c r="L68" t="str">
        <f t="shared" si="14"/>
        <v>Schönbächler</v>
      </c>
      <c r="M68" t="str">
        <f t="shared" si="15"/>
        <v>Emanuel</v>
      </c>
      <c r="N68" t="str">
        <f t="shared" si="19"/>
        <v>Emanuel</v>
      </c>
      <c r="O68" t="str">
        <f t="shared" si="16"/>
        <v>Emanuel</v>
      </c>
      <c r="P68" t="str">
        <f t="shared" si="20"/>
        <v>Küssnacht</v>
      </c>
      <c r="Q68" t="str">
        <f t="shared" si="21"/>
        <v>STV-Küssnacht</v>
      </c>
      <c r="S68">
        <v>67</v>
      </c>
      <c r="T68" t="s">
        <v>333</v>
      </c>
      <c r="U68" t="s">
        <v>422</v>
      </c>
      <c r="V68">
        <v>1999</v>
      </c>
      <c r="W68" t="s">
        <v>183</v>
      </c>
      <c r="X68" t="s">
        <v>485</v>
      </c>
      <c r="Y68">
        <v>2010</v>
      </c>
      <c r="Z68">
        <v>200</v>
      </c>
    </row>
    <row r="69" spans="1:26" x14ac:dyDescent="0.25">
      <c r="A69">
        <v>68</v>
      </c>
      <c r="B69" t="s">
        <v>185</v>
      </c>
      <c r="C69">
        <v>87</v>
      </c>
      <c r="D69" t="s">
        <v>10</v>
      </c>
      <c r="E69" t="s">
        <v>11</v>
      </c>
      <c r="F69" s="1">
        <v>1.3958333333333333</v>
      </c>
      <c r="G69" s="2">
        <v>0.1388888888888889</v>
      </c>
      <c r="H69" s="6"/>
      <c r="I69" s="4">
        <f t="shared" si="13"/>
        <v>1987</v>
      </c>
      <c r="J69" s="5">
        <f t="shared" si="17"/>
        <v>2010</v>
      </c>
      <c r="K69" s="5">
        <f t="shared" si="18"/>
        <v>200</v>
      </c>
      <c r="L69" t="str">
        <f t="shared" si="14"/>
        <v>Schönenberger</v>
      </c>
      <c r="M69" t="str">
        <f t="shared" si="15"/>
        <v>Simon</v>
      </c>
      <c r="N69" t="str">
        <f t="shared" si="19"/>
        <v>Simon</v>
      </c>
      <c r="O69" t="str">
        <f t="shared" si="16"/>
        <v>Simon</v>
      </c>
      <c r="P69" t="str">
        <f t="shared" si="20"/>
        <v>St.-Gallen</v>
      </c>
      <c r="Q69" t="str">
        <f t="shared" si="21"/>
        <v>LC-Brühl-Leichtathletik</v>
      </c>
      <c r="S69">
        <v>68</v>
      </c>
      <c r="T69" t="s">
        <v>275</v>
      </c>
      <c r="U69" t="s">
        <v>423</v>
      </c>
      <c r="V69">
        <v>1987</v>
      </c>
      <c r="W69" t="s">
        <v>483</v>
      </c>
      <c r="X69" t="s">
        <v>484</v>
      </c>
      <c r="Y69">
        <v>2010</v>
      </c>
      <c r="Z69">
        <v>200</v>
      </c>
    </row>
    <row r="70" spans="1:26" x14ac:dyDescent="0.25">
      <c r="A70">
        <v>69</v>
      </c>
      <c r="B70" t="s">
        <v>186</v>
      </c>
      <c r="C70">
        <v>90</v>
      </c>
      <c r="D70" t="s">
        <v>187</v>
      </c>
      <c r="F70" s="1">
        <v>1.3965277777777778</v>
      </c>
      <c r="G70" s="2">
        <v>0.1388888888888889</v>
      </c>
      <c r="H70" s="6"/>
      <c r="I70" s="4">
        <f t="shared" si="13"/>
        <v>1990</v>
      </c>
      <c r="J70" s="5">
        <f t="shared" si="17"/>
        <v>2011</v>
      </c>
      <c r="K70" s="5">
        <f t="shared" si="18"/>
        <v>200</v>
      </c>
      <c r="L70" t="str">
        <f t="shared" si="14"/>
        <v>Marquart</v>
      </c>
      <c r="M70" t="str">
        <f t="shared" si="15"/>
        <v>Artho</v>
      </c>
      <c r="N70" t="str">
        <f t="shared" si="19"/>
        <v>Artho</v>
      </c>
      <c r="O70" t="str">
        <f t="shared" si="16"/>
        <v>Artho</v>
      </c>
      <c r="P70" t="str">
        <f t="shared" si="20"/>
        <v>Aathal-Seegräben</v>
      </c>
      <c r="Q70" t="str">
        <f t="shared" si="21"/>
        <v/>
      </c>
      <c r="S70">
        <v>69</v>
      </c>
      <c r="T70" t="s">
        <v>334</v>
      </c>
      <c r="U70" t="s">
        <v>424</v>
      </c>
      <c r="V70">
        <v>1990</v>
      </c>
      <c r="W70" t="s">
        <v>187</v>
      </c>
      <c r="X70" t="s">
        <v>465</v>
      </c>
      <c r="Y70">
        <v>2011</v>
      </c>
      <c r="Z70">
        <v>200</v>
      </c>
    </row>
    <row r="71" spans="1:26" x14ac:dyDescent="0.25">
      <c r="A71">
        <v>70</v>
      </c>
      <c r="B71" t="s">
        <v>188</v>
      </c>
      <c r="C71">
        <v>4</v>
      </c>
      <c r="D71" t="s">
        <v>94</v>
      </c>
      <c r="E71" t="s">
        <v>95</v>
      </c>
      <c r="F71" s="1">
        <v>1.3965277777777778</v>
      </c>
      <c r="G71" s="2">
        <v>0.1388888888888889</v>
      </c>
      <c r="H71" s="6"/>
      <c r="I71" s="4">
        <f t="shared" si="13"/>
        <v>2004</v>
      </c>
      <c r="J71" s="5">
        <f t="shared" si="17"/>
        <v>2011</v>
      </c>
      <c r="K71" s="5">
        <f t="shared" si="18"/>
        <v>200</v>
      </c>
      <c r="L71" t="str">
        <f t="shared" si="14"/>
        <v>Wolfensberger</v>
      </c>
      <c r="M71" t="str">
        <f t="shared" si="15"/>
        <v>Simon</v>
      </c>
      <c r="N71" t="str">
        <f t="shared" si="19"/>
        <v>Simon</v>
      </c>
      <c r="O71" t="str">
        <f t="shared" si="16"/>
        <v>Simon</v>
      </c>
      <c r="P71" t="str">
        <f t="shared" si="20"/>
        <v>Winterthur</v>
      </c>
      <c r="Q71" t="str">
        <f t="shared" si="21"/>
        <v>LV-Winterthur</v>
      </c>
      <c r="S71">
        <v>70</v>
      </c>
      <c r="T71" t="s">
        <v>335</v>
      </c>
      <c r="U71" t="s">
        <v>423</v>
      </c>
      <c r="V71">
        <v>2004</v>
      </c>
      <c r="W71" t="s">
        <v>94</v>
      </c>
      <c r="X71" t="s">
        <v>464</v>
      </c>
      <c r="Y71">
        <v>2011</v>
      </c>
      <c r="Z71">
        <v>200</v>
      </c>
    </row>
    <row r="72" spans="1:26" x14ac:dyDescent="0.25">
      <c r="A72">
        <v>71</v>
      </c>
      <c r="B72" t="s">
        <v>189</v>
      </c>
      <c r="C72">
        <v>94</v>
      </c>
      <c r="D72" t="s">
        <v>190</v>
      </c>
      <c r="E72" t="s">
        <v>35</v>
      </c>
      <c r="F72" s="1">
        <v>1.3979166666666667</v>
      </c>
      <c r="G72" s="2">
        <v>0.13958333333333334</v>
      </c>
      <c r="H72" s="6"/>
      <c r="I72" s="4">
        <f t="shared" si="13"/>
        <v>1994</v>
      </c>
      <c r="J72" s="5">
        <f t="shared" si="17"/>
        <v>2013</v>
      </c>
      <c r="K72" s="5">
        <f t="shared" si="18"/>
        <v>201</v>
      </c>
      <c r="L72" t="str">
        <f t="shared" si="14"/>
        <v>Morgenthaler</v>
      </c>
      <c r="M72" t="str">
        <f t="shared" si="15"/>
        <v>Joël</v>
      </c>
      <c r="N72" t="str">
        <f t="shared" si="19"/>
        <v>Joël</v>
      </c>
      <c r="O72" t="str">
        <f t="shared" si="16"/>
        <v>Joël</v>
      </c>
      <c r="P72" t="str">
        <f t="shared" si="20"/>
        <v>Waltenschwil</v>
      </c>
      <c r="Q72" t="str">
        <f t="shared" si="21"/>
        <v>LC-Regensdorf</v>
      </c>
      <c r="S72">
        <v>71</v>
      </c>
      <c r="T72" t="s">
        <v>336</v>
      </c>
      <c r="U72" t="s">
        <v>425</v>
      </c>
      <c r="V72">
        <v>1994</v>
      </c>
      <c r="W72" t="s">
        <v>190</v>
      </c>
      <c r="X72" t="s">
        <v>451</v>
      </c>
      <c r="Y72">
        <v>2013</v>
      </c>
      <c r="Z72">
        <v>201</v>
      </c>
    </row>
    <row r="73" spans="1:26" x14ac:dyDescent="0.25">
      <c r="A73">
        <v>72</v>
      </c>
      <c r="B73" t="s">
        <v>191</v>
      </c>
      <c r="C73">
        <v>2</v>
      </c>
      <c r="D73" t="s">
        <v>10</v>
      </c>
      <c r="E73" t="s">
        <v>11</v>
      </c>
      <c r="F73" s="1">
        <v>1.4013888888888888</v>
      </c>
      <c r="G73" s="2">
        <v>0.13958333333333334</v>
      </c>
      <c r="H73" s="6"/>
      <c r="I73" s="4">
        <f t="shared" si="13"/>
        <v>2002</v>
      </c>
      <c r="J73" s="5">
        <f t="shared" si="17"/>
        <v>2018</v>
      </c>
      <c r="K73" s="5">
        <f t="shared" si="18"/>
        <v>201</v>
      </c>
      <c r="L73" t="str">
        <f t="shared" si="14"/>
        <v>Parfuss</v>
      </c>
      <c r="M73" t="str">
        <f t="shared" si="15"/>
        <v>Florin</v>
      </c>
      <c r="N73" t="str">
        <f t="shared" si="19"/>
        <v>Florin</v>
      </c>
      <c r="O73" t="str">
        <f t="shared" si="16"/>
        <v>Florin</v>
      </c>
      <c r="P73" t="str">
        <f t="shared" si="20"/>
        <v>St.-Gallen</v>
      </c>
      <c r="Q73" t="str">
        <f t="shared" si="21"/>
        <v>LC-Brühl-Leichtathletik</v>
      </c>
      <c r="S73">
        <v>72</v>
      </c>
      <c r="T73" t="s">
        <v>337</v>
      </c>
      <c r="U73" t="s">
        <v>426</v>
      </c>
      <c r="V73">
        <v>2002</v>
      </c>
      <c r="W73" t="s">
        <v>483</v>
      </c>
      <c r="X73" t="s">
        <v>484</v>
      </c>
      <c r="Y73">
        <v>2018</v>
      </c>
      <c r="Z73">
        <v>201</v>
      </c>
    </row>
    <row r="74" spans="1:26" x14ac:dyDescent="0.25">
      <c r="A74">
        <v>73</v>
      </c>
      <c r="B74" t="s">
        <v>192</v>
      </c>
      <c r="C74">
        <v>77</v>
      </c>
      <c r="D74" t="s">
        <v>193</v>
      </c>
      <c r="F74" s="1">
        <v>1.4027777777777777</v>
      </c>
      <c r="G74" s="2">
        <v>0.13958333333333334</v>
      </c>
      <c r="H74" s="6"/>
      <c r="I74" s="4">
        <f t="shared" si="13"/>
        <v>1977</v>
      </c>
      <c r="J74" s="5">
        <f t="shared" si="17"/>
        <v>2020</v>
      </c>
      <c r="K74" s="5">
        <f t="shared" si="18"/>
        <v>201</v>
      </c>
      <c r="L74" t="str">
        <f t="shared" si="14"/>
        <v>Wiederkehr</v>
      </c>
      <c r="M74" t="str">
        <f t="shared" si="15"/>
        <v>Fabian</v>
      </c>
      <c r="N74" t="str">
        <f t="shared" si="19"/>
        <v>Fabian</v>
      </c>
      <c r="O74" t="str">
        <f t="shared" si="16"/>
        <v>Fabian</v>
      </c>
      <c r="P74" t="str">
        <f t="shared" si="20"/>
        <v>Wil-SG</v>
      </c>
      <c r="Q74" t="str">
        <f t="shared" si="21"/>
        <v/>
      </c>
      <c r="S74">
        <v>73</v>
      </c>
      <c r="T74" t="s">
        <v>338</v>
      </c>
      <c r="U74" t="s">
        <v>401</v>
      </c>
      <c r="V74">
        <v>1977</v>
      </c>
      <c r="W74" t="s">
        <v>486</v>
      </c>
      <c r="X74" t="s">
        <v>465</v>
      </c>
      <c r="Y74">
        <v>2020</v>
      </c>
      <c r="Z74">
        <v>201</v>
      </c>
    </row>
    <row r="75" spans="1:26" x14ac:dyDescent="0.25">
      <c r="A75">
        <v>74</v>
      </c>
      <c r="B75" t="s">
        <v>194</v>
      </c>
      <c r="C75">
        <v>8</v>
      </c>
      <c r="D75" t="s">
        <v>195</v>
      </c>
      <c r="E75" t="s">
        <v>196</v>
      </c>
      <c r="F75" s="1">
        <v>1.4034722222222222</v>
      </c>
      <c r="G75" s="2">
        <v>0.13958333333333334</v>
      </c>
      <c r="H75" s="6"/>
      <c r="I75" s="4">
        <f t="shared" si="13"/>
        <v>2008</v>
      </c>
      <c r="J75" s="5">
        <f t="shared" si="17"/>
        <v>2021</v>
      </c>
      <c r="K75" s="5">
        <f t="shared" si="18"/>
        <v>201</v>
      </c>
      <c r="L75" t="str">
        <f t="shared" si="14"/>
        <v>Popea</v>
      </c>
      <c r="M75" t="str">
        <f t="shared" si="15"/>
        <v>Théotime</v>
      </c>
      <c r="N75" t="str">
        <f t="shared" si="19"/>
        <v>Théotime</v>
      </c>
      <c r="O75" t="str">
        <f t="shared" si="16"/>
        <v>Théotime</v>
      </c>
      <c r="P75" t="str">
        <f t="shared" si="20"/>
        <v>Lutry</v>
      </c>
      <c r="Q75" t="str">
        <f t="shared" si="21"/>
        <v>AthleTEAM-Lutry-/-Cris-Run</v>
      </c>
      <c r="S75">
        <v>74</v>
      </c>
      <c r="T75" t="s">
        <v>339</v>
      </c>
      <c r="U75" t="s">
        <v>427</v>
      </c>
      <c r="V75">
        <v>2008</v>
      </c>
      <c r="W75" t="s">
        <v>195</v>
      </c>
      <c r="X75" t="s">
        <v>487</v>
      </c>
      <c r="Y75">
        <v>2021</v>
      </c>
      <c r="Z75">
        <v>201</v>
      </c>
    </row>
    <row r="76" spans="1:26" x14ac:dyDescent="0.25">
      <c r="A76">
        <v>75</v>
      </c>
      <c r="B76" t="s">
        <v>197</v>
      </c>
      <c r="C76">
        <v>77</v>
      </c>
      <c r="D76" t="s">
        <v>198</v>
      </c>
      <c r="E76" t="s">
        <v>199</v>
      </c>
      <c r="F76" s="1">
        <v>1.4048611111111111</v>
      </c>
      <c r="G76" s="2">
        <v>0.14027777777777778</v>
      </c>
      <c r="H76" s="6"/>
      <c r="I76" s="4">
        <f t="shared" si="13"/>
        <v>1977</v>
      </c>
      <c r="J76" s="5">
        <f t="shared" si="17"/>
        <v>2023</v>
      </c>
      <c r="K76" s="5">
        <f t="shared" si="18"/>
        <v>202</v>
      </c>
      <c r="L76" t="str">
        <f t="shared" si="14"/>
        <v>Lagerström</v>
      </c>
      <c r="M76" t="str">
        <f t="shared" si="15"/>
        <v>Mark</v>
      </c>
      <c r="N76" t="str">
        <f t="shared" si="19"/>
        <v>Mark</v>
      </c>
      <c r="O76" t="str">
        <f t="shared" si="16"/>
        <v>Mark</v>
      </c>
      <c r="P76" t="str">
        <f t="shared" si="20"/>
        <v>Dübendorf</v>
      </c>
      <c r="Q76" t="str">
        <f t="shared" si="21"/>
        <v>SV-WIEDIKON</v>
      </c>
      <c r="S76">
        <v>75</v>
      </c>
      <c r="T76" t="s">
        <v>340</v>
      </c>
      <c r="U76" t="s">
        <v>428</v>
      </c>
      <c r="V76">
        <v>1977</v>
      </c>
      <c r="W76" t="s">
        <v>198</v>
      </c>
      <c r="X76" t="s">
        <v>488</v>
      </c>
      <c r="Y76">
        <v>2023</v>
      </c>
      <c r="Z76">
        <v>202</v>
      </c>
    </row>
    <row r="77" spans="1:26" x14ac:dyDescent="0.25">
      <c r="A77">
        <v>76</v>
      </c>
      <c r="B77" t="s">
        <v>200</v>
      </c>
      <c r="C77">
        <v>2</v>
      </c>
      <c r="D77" t="s">
        <v>201</v>
      </c>
      <c r="E77" t="s">
        <v>202</v>
      </c>
      <c r="F77" s="1">
        <v>1.4069444444444446</v>
      </c>
      <c r="G77" s="2">
        <v>0.14027777777777778</v>
      </c>
      <c r="H77" s="6"/>
      <c r="I77" s="4">
        <f t="shared" si="13"/>
        <v>2002</v>
      </c>
      <c r="J77" s="5">
        <f t="shared" si="17"/>
        <v>2026</v>
      </c>
      <c r="K77" s="5">
        <f t="shared" si="18"/>
        <v>202</v>
      </c>
      <c r="L77" t="str">
        <f t="shared" si="14"/>
        <v>Schober</v>
      </c>
      <c r="M77" t="str">
        <f t="shared" si="15"/>
        <v>Rafael</v>
      </c>
      <c r="N77" t="str">
        <f t="shared" si="19"/>
        <v>Rafael</v>
      </c>
      <c r="O77" t="str">
        <f t="shared" si="16"/>
        <v>Rafael</v>
      </c>
      <c r="P77" t="str">
        <f t="shared" si="20"/>
        <v>Bützberg</v>
      </c>
      <c r="Q77" t="str">
        <f t="shared" si="21"/>
        <v>LV-Langenthal-/-LTC</v>
      </c>
      <c r="S77">
        <v>76</v>
      </c>
      <c r="T77" t="s">
        <v>341</v>
      </c>
      <c r="U77" t="s">
        <v>429</v>
      </c>
      <c r="V77">
        <v>2002</v>
      </c>
      <c r="W77" t="s">
        <v>201</v>
      </c>
      <c r="X77" t="s">
        <v>489</v>
      </c>
      <c r="Y77">
        <v>2026</v>
      </c>
      <c r="Z77">
        <v>202</v>
      </c>
    </row>
    <row r="78" spans="1:26" x14ac:dyDescent="0.25">
      <c r="A78">
        <v>77</v>
      </c>
      <c r="B78" t="s">
        <v>203</v>
      </c>
      <c r="C78">
        <v>73</v>
      </c>
      <c r="D78" t="s">
        <v>204</v>
      </c>
      <c r="E78" t="s">
        <v>205</v>
      </c>
      <c r="F78" s="1">
        <v>1.4076388888888889</v>
      </c>
      <c r="G78" s="2">
        <v>0.14027777777777778</v>
      </c>
      <c r="H78" s="6"/>
      <c r="I78" s="4">
        <f t="shared" si="13"/>
        <v>1973</v>
      </c>
      <c r="J78" s="5">
        <f t="shared" si="17"/>
        <v>2027</v>
      </c>
      <c r="K78" s="5">
        <f t="shared" si="18"/>
        <v>202</v>
      </c>
      <c r="L78" t="str">
        <f t="shared" si="14"/>
        <v>Fischer</v>
      </c>
      <c r="M78" t="str">
        <f t="shared" si="15"/>
        <v>Christian</v>
      </c>
      <c r="N78" t="str">
        <f t="shared" si="19"/>
        <v>Christian</v>
      </c>
      <c r="O78" t="str">
        <f t="shared" si="16"/>
        <v>Christian</v>
      </c>
      <c r="P78" t="str">
        <f t="shared" si="20"/>
        <v>Aarberg</v>
      </c>
      <c r="Q78" t="str">
        <f t="shared" si="21"/>
        <v>LCA-Bärn</v>
      </c>
      <c r="S78">
        <v>77</v>
      </c>
      <c r="T78" t="s">
        <v>342</v>
      </c>
      <c r="U78" t="s">
        <v>430</v>
      </c>
      <c r="V78">
        <v>1973</v>
      </c>
      <c r="W78" t="s">
        <v>204</v>
      </c>
      <c r="X78" t="s">
        <v>490</v>
      </c>
      <c r="Y78">
        <v>2027</v>
      </c>
      <c r="Z78">
        <v>202</v>
      </c>
    </row>
    <row r="79" spans="1:26" x14ac:dyDescent="0.25">
      <c r="A79">
        <v>78</v>
      </c>
      <c r="B79" t="s">
        <v>206</v>
      </c>
      <c r="C79">
        <v>91</v>
      </c>
      <c r="D79" t="s">
        <v>207</v>
      </c>
      <c r="E79" t="s">
        <v>208</v>
      </c>
      <c r="F79" s="1">
        <v>1.4118055555555555</v>
      </c>
      <c r="G79" s="2">
        <v>0.14097222222222222</v>
      </c>
      <c r="H79" s="6"/>
      <c r="I79" s="4">
        <f t="shared" si="13"/>
        <v>1991</v>
      </c>
      <c r="J79" s="5">
        <f t="shared" si="17"/>
        <v>2033</v>
      </c>
      <c r="K79" s="5">
        <f t="shared" si="18"/>
        <v>203</v>
      </c>
      <c r="L79" t="str">
        <f t="shared" si="14"/>
        <v>Marquetant</v>
      </c>
      <c r="M79" t="str">
        <f t="shared" si="15"/>
        <v>Timo</v>
      </c>
      <c r="N79" t="str">
        <f t="shared" si="19"/>
        <v>Timo</v>
      </c>
      <c r="O79" t="str">
        <f t="shared" si="16"/>
        <v>Timo</v>
      </c>
      <c r="P79" t="str">
        <f t="shared" si="20"/>
        <v>Beringen</v>
      </c>
      <c r="Q79" t="str">
        <f t="shared" si="21"/>
        <v>LC-Schaffhausen</v>
      </c>
      <c r="S79">
        <v>78</v>
      </c>
      <c r="T79" t="s">
        <v>343</v>
      </c>
      <c r="U79" t="s">
        <v>431</v>
      </c>
      <c r="V79">
        <v>1991</v>
      </c>
      <c r="W79" t="s">
        <v>207</v>
      </c>
      <c r="X79" t="s">
        <v>491</v>
      </c>
      <c r="Y79">
        <v>2033</v>
      </c>
      <c r="Z79">
        <v>203</v>
      </c>
    </row>
    <row r="80" spans="1:26" x14ac:dyDescent="0.25">
      <c r="A80">
        <v>79</v>
      </c>
      <c r="B80" t="s">
        <v>209</v>
      </c>
      <c r="C80">
        <v>99</v>
      </c>
      <c r="D80" t="s">
        <v>210</v>
      </c>
      <c r="E80" t="s">
        <v>145</v>
      </c>
      <c r="F80" s="1">
        <v>1.4118055555555555</v>
      </c>
      <c r="G80" s="2">
        <v>0.14097222222222222</v>
      </c>
      <c r="H80" s="6"/>
      <c r="I80" s="4">
        <f t="shared" si="13"/>
        <v>1999</v>
      </c>
      <c r="J80" s="5">
        <f t="shared" si="17"/>
        <v>2033</v>
      </c>
      <c r="K80" s="5">
        <f t="shared" si="18"/>
        <v>203</v>
      </c>
      <c r="L80" t="str">
        <f t="shared" si="14"/>
        <v>Leneuf</v>
      </c>
      <c r="M80" t="str">
        <f t="shared" si="15"/>
        <v>Louis</v>
      </c>
      <c r="N80" t="str">
        <f t="shared" si="19"/>
        <v>Louis</v>
      </c>
      <c r="O80" t="str">
        <f t="shared" si="16"/>
        <v>Louis</v>
      </c>
      <c r="P80" t="str">
        <f t="shared" si="20"/>
        <v>Blonay</v>
      </c>
      <c r="Q80" t="str">
        <f t="shared" si="21"/>
        <v>Athle.ch-Club</v>
      </c>
      <c r="S80">
        <v>79</v>
      </c>
      <c r="T80" t="s">
        <v>344</v>
      </c>
      <c r="U80" t="s">
        <v>432</v>
      </c>
      <c r="V80">
        <v>1999</v>
      </c>
      <c r="W80" t="s">
        <v>210</v>
      </c>
      <c r="X80" t="s">
        <v>478</v>
      </c>
      <c r="Y80">
        <v>2033</v>
      </c>
      <c r="Z80">
        <v>203</v>
      </c>
    </row>
    <row r="81" spans="1:26" x14ac:dyDescent="0.25">
      <c r="A81">
        <v>80</v>
      </c>
      <c r="B81" t="s">
        <v>211</v>
      </c>
      <c r="C81">
        <v>6</v>
      </c>
      <c r="D81" t="s">
        <v>23</v>
      </c>
      <c r="E81" t="s">
        <v>24</v>
      </c>
      <c r="F81" s="1">
        <v>1.4145833333333333</v>
      </c>
      <c r="G81" s="2">
        <v>0.14097222222222222</v>
      </c>
      <c r="H81" s="6"/>
      <c r="I81" s="4">
        <f t="shared" si="13"/>
        <v>2006</v>
      </c>
      <c r="J81" s="5">
        <f t="shared" si="17"/>
        <v>2037</v>
      </c>
      <c r="K81" s="5">
        <f t="shared" si="18"/>
        <v>203</v>
      </c>
      <c r="L81" t="str">
        <f t="shared" si="14"/>
        <v>Schneeberger</v>
      </c>
      <c r="M81" t="str">
        <f t="shared" si="15"/>
        <v>Manuel</v>
      </c>
      <c r="N81" t="str">
        <f t="shared" si="19"/>
        <v>Manuel</v>
      </c>
      <c r="O81" t="str">
        <f t="shared" si="16"/>
        <v>Manuel</v>
      </c>
      <c r="P81" t="str">
        <f t="shared" si="20"/>
        <v>Langenthal</v>
      </c>
      <c r="Q81" t="str">
        <f t="shared" si="21"/>
        <v>LV-Langenthal</v>
      </c>
      <c r="S81">
        <v>80</v>
      </c>
      <c r="T81" t="s">
        <v>345</v>
      </c>
      <c r="U81" t="s">
        <v>433</v>
      </c>
      <c r="V81">
        <v>2006</v>
      </c>
      <c r="W81" t="s">
        <v>23</v>
      </c>
      <c r="X81" t="s">
        <v>449</v>
      </c>
      <c r="Y81">
        <v>2037</v>
      </c>
      <c r="Z81">
        <v>203</v>
      </c>
    </row>
    <row r="82" spans="1:26" x14ac:dyDescent="0.25">
      <c r="A82">
        <v>81</v>
      </c>
      <c r="B82" t="s">
        <v>212</v>
      </c>
      <c r="C82">
        <v>94</v>
      </c>
      <c r="D82" t="s">
        <v>37</v>
      </c>
      <c r="E82" t="s">
        <v>15</v>
      </c>
      <c r="F82" s="1">
        <v>1.4166666666666667</v>
      </c>
      <c r="G82" s="2">
        <v>0.14097222222222222</v>
      </c>
      <c r="H82" s="6"/>
      <c r="I82" s="4">
        <f t="shared" si="13"/>
        <v>1994</v>
      </c>
      <c r="J82" s="5">
        <f t="shared" si="17"/>
        <v>2040</v>
      </c>
      <c r="K82" s="5">
        <f t="shared" si="18"/>
        <v>203</v>
      </c>
      <c r="L82" t="str">
        <f t="shared" si="14"/>
        <v>Pedrazzoli</v>
      </c>
      <c r="M82" t="str">
        <f t="shared" si="15"/>
        <v>Thomas</v>
      </c>
      <c r="N82" t="str">
        <f t="shared" si="19"/>
        <v>Thomas</v>
      </c>
      <c r="O82" t="str">
        <f t="shared" si="16"/>
        <v>Thomas</v>
      </c>
      <c r="P82" t="str">
        <f t="shared" si="20"/>
        <v>Petit-Lancy</v>
      </c>
      <c r="Q82" t="str">
        <f t="shared" si="21"/>
        <v>Stade-Genève</v>
      </c>
      <c r="S82">
        <v>81</v>
      </c>
      <c r="T82" t="s">
        <v>346</v>
      </c>
      <c r="U82" t="s">
        <v>434</v>
      </c>
      <c r="V82">
        <v>1994</v>
      </c>
      <c r="W82" t="s">
        <v>37</v>
      </c>
      <c r="X82" t="s">
        <v>447</v>
      </c>
      <c r="Y82">
        <v>2040</v>
      </c>
      <c r="Z82">
        <v>203</v>
      </c>
    </row>
    <row r="83" spans="1:26" x14ac:dyDescent="0.25">
      <c r="A83">
        <v>82</v>
      </c>
      <c r="B83" t="s">
        <v>213</v>
      </c>
      <c r="C83">
        <v>98</v>
      </c>
      <c r="D83" t="s">
        <v>214</v>
      </c>
      <c r="E83" t="s">
        <v>15</v>
      </c>
      <c r="F83" s="1">
        <v>1.4173611111111111</v>
      </c>
      <c r="G83" s="2">
        <v>0.14097222222222222</v>
      </c>
      <c r="H83" s="6"/>
      <c r="I83" s="4">
        <f t="shared" si="13"/>
        <v>1998</v>
      </c>
      <c r="J83" s="5">
        <f t="shared" si="17"/>
        <v>2041</v>
      </c>
      <c r="K83" s="5">
        <f t="shared" si="18"/>
        <v>203</v>
      </c>
      <c r="L83" t="str">
        <f t="shared" si="14"/>
        <v>Wisler</v>
      </c>
      <c r="M83" t="str">
        <f t="shared" si="15"/>
        <v>Thomas</v>
      </c>
      <c r="N83" t="str">
        <f t="shared" si="19"/>
        <v>Thomas</v>
      </c>
      <c r="O83" t="str">
        <f t="shared" si="16"/>
        <v>Thomas</v>
      </c>
      <c r="P83" t="str">
        <f t="shared" si="20"/>
        <v>Morges</v>
      </c>
      <c r="Q83" t="str">
        <f t="shared" si="21"/>
        <v>Stade-Genève</v>
      </c>
      <c r="S83">
        <v>82</v>
      </c>
      <c r="T83" t="s">
        <v>347</v>
      </c>
      <c r="U83" t="s">
        <v>434</v>
      </c>
      <c r="V83">
        <v>1998</v>
      </c>
      <c r="W83" t="s">
        <v>214</v>
      </c>
      <c r="X83" t="s">
        <v>447</v>
      </c>
      <c r="Y83">
        <v>2041</v>
      </c>
      <c r="Z83">
        <v>203</v>
      </c>
    </row>
    <row r="84" spans="1:26" x14ac:dyDescent="0.25">
      <c r="A84">
        <v>83</v>
      </c>
      <c r="B84" t="s">
        <v>215</v>
      </c>
      <c r="C84">
        <v>5</v>
      </c>
      <c r="D84" t="s">
        <v>216</v>
      </c>
      <c r="E84" t="s">
        <v>217</v>
      </c>
      <c r="F84" s="1">
        <v>1.4173611111111111</v>
      </c>
      <c r="G84" s="2">
        <v>0.14166666666666666</v>
      </c>
      <c r="H84" s="6"/>
      <c r="I84" s="4">
        <f t="shared" si="13"/>
        <v>2005</v>
      </c>
      <c r="J84" s="5">
        <f t="shared" si="17"/>
        <v>2041</v>
      </c>
      <c r="K84" s="5">
        <f t="shared" si="18"/>
        <v>204</v>
      </c>
      <c r="L84" t="str">
        <f t="shared" si="14"/>
        <v>Kaufmann</v>
      </c>
      <c r="M84" t="str">
        <f t="shared" si="15"/>
        <v>Cyrill</v>
      </c>
      <c r="N84" t="str">
        <f t="shared" si="19"/>
        <v>Cyrill</v>
      </c>
      <c r="O84" t="str">
        <f t="shared" si="16"/>
        <v>Cyrill</v>
      </c>
      <c r="P84" t="str">
        <f t="shared" si="20"/>
        <v>Obfelden</v>
      </c>
      <c r="Q84" t="str">
        <f t="shared" si="21"/>
        <v>LV-Albis</v>
      </c>
      <c r="S84">
        <v>83</v>
      </c>
      <c r="T84" t="s">
        <v>301</v>
      </c>
      <c r="U84" t="s">
        <v>412</v>
      </c>
      <c r="V84">
        <v>2005</v>
      </c>
      <c r="W84" t="s">
        <v>216</v>
      </c>
      <c r="X84" t="s">
        <v>492</v>
      </c>
      <c r="Y84">
        <v>2041</v>
      </c>
      <c r="Z84">
        <v>204</v>
      </c>
    </row>
    <row r="85" spans="1:26" x14ac:dyDescent="0.25">
      <c r="A85">
        <v>84</v>
      </c>
      <c r="B85" t="s">
        <v>218</v>
      </c>
      <c r="C85">
        <v>81</v>
      </c>
      <c r="D85" t="s">
        <v>219</v>
      </c>
      <c r="F85" s="1">
        <v>1.41875</v>
      </c>
      <c r="G85" s="2">
        <v>0.14097222222222222</v>
      </c>
      <c r="H85" s="6"/>
      <c r="I85" s="4">
        <f t="shared" si="13"/>
        <v>1981</v>
      </c>
      <c r="J85" s="5">
        <f t="shared" si="17"/>
        <v>2043</v>
      </c>
      <c r="K85" s="5">
        <f t="shared" si="18"/>
        <v>203</v>
      </c>
      <c r="L85" t="str">
        <f t="shared" si="14"/>
        <v>Bischofberger</v>
      </c>
      <c r="M85" t="str">
        <f t="shared" si="15"/>
        <v>Emil</v>
      </c>
      <c r="N85" t="str">
        <f t="shared" si="19"/>
        <v>Emil</v>
      </c>
      <c r="O85" t="str">
        <f t="shared" si="16"/>
        <v>Emil</v>
      </c>
      <c r="P85" t="str">
        <f t="shared" si="20"/>
        <v>Horgen</v>
      </c>
      <c r="Q85" t="str">
        <f t="shared" si="21"/>
        <v/>
      </c>
      <c r="S85">
        <v>84</v>
      </c>
      <c r="T85" t="s">
        <v>348</v>
      </c>
      <c r="U85" t="s">
        <v>435</v>
      </c>
      <c r="V85">
        <v>1981</v>
      </c>
      <c r="W85" t="s">
        <v>219</v>
      </c>
      <c r="X85" t="s">
        <v>465</v>
      </c>
      <c r="Y85">
        <v>2043</v>
      </c>
      <c r="Z85">
        <v>203</v>
      </c>
    </row>
    <row r="86" spans="1:26" x14ac:dyDescent="0.25">
      <c r="A86">
        <v>85</v>
      </c>
      <c r="B86" t="s">
        <v>220</v>
      </c>
      <c r="C86">
        <v>98</v>
      </c>
      <c r="D86" t="s">
        <v>221</v>
      </c>
      <c r="E86" t="s">
        <v>222</v>
      </c>
      <c r="F86" s="1">
        <v>1.4215277777777777</v>
      </c>
      <c r="G86" s="2">
        <v>0.14166666666666666</v>
      </c>
      <c r="H86" s="6"/>
      <c r="I86" s="4">
        <f t="shared" si="13"/>
        <v>1998</v>
      </c>
      <c r="J86" s="5">
        <f t="shared" si="17"/>
        <v>2047</v>
      </c>
      <c r="K86" s="5">
        <f t="shared" si="18"/>
        <v>204</v>
      </c>
      <c r="L86" t="str">
        <f t="shared" si="14"/>
        <v>Bruderer</v>
      </c>
      <c r="M86" t="str">
        <f t="shared" si="15"/>
        <v>Silas</v>
      </c>
      <c r="N86" t="str">
        <f t="shared" si="19"/>
        <v>Silas</v>
      </c>
      <c r="O86" t="str">
        <f t="shared" si="16"/>
        <v>Silas</v>
      </c>
      <c r="P86" t="str">
        <f t="shared" si="20"/>
        <v>Egnach</v>
      </c>
      <c r="Q86" t="str">
        <f t="shared" si="21"/>
        <v>LAR-Bischofszell</v>
      </c>
      <c r="S86">
        <v>85</v>
      </c>
      <c r="T86" t="s">
        <v>349</v>
      </c>
      <c r="U86" t="s">
        <v>436</v>
      </c>
      <c r="V86">
        <v>1998</v>
      </c>
      <c r="W86" t="s">
        <v>221</v>
      </c>
      <c r="X86" t="s">
        <v>493</v>
      </c>
      <c r="Y86">
        <v>2047</v>
      </c>
      <c r="Z86">
        <v>204</v>
      </c>
    </row>
    <row r="87" spans="1:26" x14ac:dyDescent="0.25">
      <c r="A87">
        <v>86</v>
      </c>
      <c r="B87" t="s">
        <v>223</v>
      </c>
      <c r="C87">
        <v>89</v>
      </c>
      <c r="D87" t="s">
        <v>224</v>
      </c>
      <c r="F87" s="1">
        <v>1.4256944444444444</v>
      </c>
      <c r="G87" s="2">
        <v>0.1423611111111111</v>
      </c>
      <c r="H87" s="6"/>
      <c r="I87" s="4">
        <f t="shared" si="13"/>
        <v>1989</v>
      </c>
      <c r="J87" s="5">
        <f t="shared" si="17"/>
        <v>2053</v>
      </c>
      <c r="K87" s="5">
        <f t="shared" si="18"/>
        <v>205</v>
      </c>
      <c r="L87" t="str">
        <f t="shared" si="14"/>
        <v>Schmidhalter</v>
      </c>
      <c r="M87" t="str">
        <f t="shared" si="15"/>
        <v>Joël</v>
      </c>
      <c r="N87" t="str">
        <f t="shared" si="19"/>
        <v>Joël</v>
      </c>
      <c r="O87" t="str">
        <f t="shared" si="16"/>
        <v>Joël</v>
      </c>
      <c r="P87" t="str">
        <f t="shared" si="20"/>
        <v>Glis</v>
      </c>
      <c r="Q87" t="str">
        <f t="shared" si="21"/>
        <v/>
      </c>
      <c r="S87">
        <v>86</v>
      </c>
      <c r="T87" t="s">
        <v>350</v>
      </c>
      <c r="U87" t="s">
        <v>425</v>
      </c>
      <c r="V87">
        <v>1989</v>
      </c>
      <c r="W87" t="s">
        <v>224</v>
      </c>
      <c r="X87" t="s">
        <v>465</v>
      </c>
      <c r="Y87">
        <v>2053</v>
      </c>
      <c r="Z87">
        <v>205</v>
      </c>
    </row>
    <row r="88" spans="1:26" x14ac:dyDescent="0.25">
      <c r="A88">
        <v>87</v>
      </c>
      <c r="B88" t="s">
        <v>225</v>
      </c>
      <c r="C88">
        <v>99</v>
      </c>
      <c r="D88" t="s">
        <v>226</v>
      </c>
      <c r="E88" t="s">
        <v>176</v>
      </c>
      <c r="F88" s="1">
        <v>1.4277777777777778</v>
      </c>
      <c r="G88" s="2">
        <v>0.1423611111111111</v>
      </c>
      <c r="H88" s="6"/>
      <c r="I88" s="4">
        <f t="shared" si="13"/>
        <v>1999</v>
      </c>
      <c r="J88" s="5">
        <f t="shared" si="17"/>
        <v>2056</v>
      </c>
      <c r="K88" s="5">
        <f t="shared" si="18"/>
        <v>205</v>
      </c>
      <c r="L88" t="str">
        <f t="shared" si="14"/>
        <v>Ummel</v>
      </c>
      <c r="M88" t="str">
        <f t="shared" si="15"/>
        <v>Dominik</v>
      </c>
      <c r="N88" t="str">
        <f t="shared" si="19"/>
        <v>Dominik</v>
      </c>
      <c r="O88" t="str">
        <f t="shared" si="16"/>
        <v>Dominik</v>
      </c>
      <c r="P88" t="str">
        <f t="shared" si="20"/>
        <v>Biglen</v>
      </c>
      <c r="Q88" t="str">
        <f t="shared" si="21"/>
        <v>LC-Luzern</v>
      </c>
      <c r="S88">
        <v>87</v>
      </c>
      <c r="T88" t="s">
        <v>351</v>
      </c>
      <c r="U88" t="s">
        <v>380</v>
      </c>
      <c r="V88">
        <v>1999</v>
      </c>
      <c r="W88" t="s">
        <v>226</v>
      </c>
      <c r="X88" t="s">
        <v>494</v>
      </c>
      <c r="Y88">
        <v>2056</v>
      </c>
      <c r="Z88">
        <v>205</v>
      </c>
    </row>
    <row r="89" spans="1:26" x14ac:dyDescent="0.25">
      <c r="A89">
        <v>88</v>
      </c>
      <c r="B89" t="s">
        <v>227</v>
      </c>
      <c r="C89">
        <v>71</v>
      </c>
      <c r="D89" t="s">
        <v>228</v>
      </c>
      <c r="E89" t="s">
        <v>113</v>
      </c>
      <c r="F89" s="1">
        <v>1.4284722222222221</v>
      </c>
      <c r="G89" s="2">
        <v>0.1423611111111111</v>
      </c>
      <c r="H89" s="6"/>
      <c r="I89" s="4">
        <f t="shared" si="13"/>
        <v>1971</v>
      </c>
      <c r="J89" s="5">
        <f t="shared" si="17"/>
        <v>2057</v>
      </c>
      <c r="K89" s="5">
        <f t="shared" si="18"/>
        <v>205</v>
      </c>
      <c r="L89" t="str">
        <f t="shared" si="14"/>
        <v>Leibundgut</v>
      </c>
      <c r="M89" t="str">
        <f t="shared" si="15"/>
        <v>Armin</v>
      </c>
      <c r="N89" t="str">
        <f t="shared" si="19"/>
        <v>Armin</v>
      </c>
      <c r="O89" t="str">
        <f t="shared" si="16"/>
        <v>Armin</v>
      </c>
      <c r="P89" t="str">
        <f t="shared" si="20"/>
        <v>Melchnau</v>
      </c>
      <c r="Q89" t="str">
        <f t="shared" si="21"/>
        <v>TV-Länggasse</v>
      </c>
      <c r="S89">
        <v>88</v>
      </c>
      <c r="T89" t="s">
        <v>352</v>
      </c>
      <c r="U89" t="s">
        <v>437</v>
      </c>
      <c r="V89">
        <v>1971</v>
      </c>
      <c r="W89" t="s">
        <v>228</v>
      </c>
      <c r="X89" t="s">
        <v>470</v>
      </c>
      <c r="Y89">
        <v>2057</v>
      </c>
      <c r="Z89">
        <v>205</v>
      </c>
    </row>
    <row r="90" spans="1:26" x14ac:dyDescent="0.25">
      <c r="A90">
        <v>89</v>
      </c>
      <c r="B90" t="s">
        <v>229</v>
      </c>
      <c r="C90">
        <v>3</v>
      </c>
      <c r="D90" t="s">
        <v>230</v>
      </c>
      <c r="E90" t="s">
        <v>231</v>
      </c>
      <c r="F90" s="1">
        <v>1.4381944444444446</v>
      </c>
      <c r="G90" s="2">
        <v>0.14305555555555555</v>
      </c>
      <c r="H90" s="6"/>
      <c r="I90" s="4">
        <f t="shared" si="13"/>
        <v>2003</v>
      </c>
      <c r="J90" s="5">
        <f t="shared" si="17"/>
        <v>2071</v>
      </c>
      <c r="K90" s="5">
        <f t="shared" si="18"/>
        <v>206</v>
      </c>
      <c r="L90" t="str">
        <f t="shared" si="14"/>
        <v>Freund</v>
      </c>
      <c r="M90" t="str">
        <f t="shared" si="15"/>
        <v>Jonas</v>
      </c>
      <c r="N90" t="str">
        <f t="shared" si="19"/>
        <v>Jonas</v>
      </c>
      <c r="O90" t="str">
        <f t="shared" si="16"/>
        <v>Jonas</v>
      </c>
      <c r="P90" t="str">
        <f t="shared" si="20"/>
        <v>Vilters</v>
      </c>
      <c r="Q90" t="str">
        <f t="shared" si="21"/>
        <v>TG-Ost</v>
      </c>
      <c r="S90">
        <v>89</v>
      </c>
      <c r="T90" t="s">
        <v>353</v>
      </c>
      <c r="U90" t="s">
        <v>384</v>
      </c>
      <c r="V90">
        <v>2003</v>
      </c>
      <c r="W90" t="s">
        <v>230</v>
      </c>
      <c r="X90" t="s">
        <v>495</v>
      </c>
      <c r="Y90">
        <v>2071</v>
      </c>
      <c r="Z90">
        <v>206</v>
      </c>
    </row>
    <row r="91" spans="1:26" x14ac:dyDescent="0.25">
      <c r="A91">
        <v>90</v>
      </c>
      <c r="B91" t="s">
        <v>232</v>
      </c>
      <c r="C91">
        <v>75</v>
      </c>
      <c r="D91" t="s">
        <v>233</v>
      </c>
      <c r="E91" t="s">
        <v>234</v>
      </c>
      <c r="F91" s="1">
        <v>1.4395833333333334</v>
      </c>
      <c r="G91" s="2">
        <v>0.14305555555555555</v>
      </c>
      <c r="H91" s="6"/>
      <c r="I91" s="4">
        <f t="shared" si="13"/>
        <v>1975</v>
      </c>
      <c r="J91" s="5">
        <f t="shared" si="17"/>
        <v>2073</v>
      </c>
      <c r="K91" s="5">
        <f t="shared" si="18"/>
        <v>206</v>
      </c>
      <c r="L91" t="str">
        <f t="shared" si="14"/>
        <v>Bohren</v>
      </c>
      <c r="M91" t="str">
        <f t="shared" si="15"/>
        <v>Yves</v>
      </c>
      <c r="N91" t="str">
        <f t="shared" si="19"/>
        <v>Yves</v>
      </c>
      <c r="O91" t="str">
        <f t="shared" si="16"/>
        <v>Yves</v>
      </c>
      <c r="P91" t="str">
        <f t="shared" si="20"/>
        <v>Kleinandelfingen</v>
      </c>
      <c r="Q91" t="str">
        <f t="shared" si="21"/>
        <v>LAC-TV-Unterstrass-/-Medbase-Runner</v>
      </c>
      <c r="S91">
        <v>90</v>
      </c>
      <c r="T91" t="s">
        <v>354</v>
      </c>
      <c r="U91" t="s">
        <v>438</v>
      </c>
      <c r="V91">
        <v>1975</v>
      </c>
      <c r="W91" t="s">
        <v>233</v>
      </c>
      <c r="X91" t="s">
        <v>496</v>
      </c>
      <c r="Y91">
        <v>2073</v>
      </c>
      <c r="Z91">
        <v>206</v>
      </c>
    </row>
    <row r="92" spans="1:26" x14ac:dyDescent="0.25">
      <c r="A92">
        <v>91</v>
      </c>
      <c r="B92" t="s">
        <v>235</v>
      </c>
      <c r="C92">
        <v>6</v>
      </c>
      <c r="D92" t="s">
        <v>236</v>
      </c>
      <c r="E92" t="s">
        <v>237</v>
      </c>
      <c r="F92" s="1">
        <v>1.4402777777777778</v>
      </c>
      <c r="G92" s="2">
        <v>0.14305555555555555</v>
      </c>
      <c r="H92" s="6"/>
      <c r="I92" s="4">
        <f t="shared" si="13"/>
        <v>2006</v>
      </c>
      <c r="J92" s="5">
        <f t="shared" si="17"/>
        <v>2074</v>
      </c>
      <c r="K92" s="5">
        <f t="shared" si="18"/>
        <v>206</v>
      </c>
      <c r="L92" t="str">
        <f t="shared" si="14"/>
        <v>Länzlinger</v>
      </c>
      <c r="M92" t="str">
        <f t="shared" si="15"/>
        <v>Lorin</v>
      </c>
      <c r="N92" t="str">
        <f t="shared" si="19"/>
        <v>Lorin</v>
      </c>
      <c r="O92" t="str">
        <f t="shared" si="16"/>
        <v>Lorin</v>
      </c>
      <c r="P92" t="str">
        <f t="shared" si="20"/>
        <v>Mosnang</v>
      </c>
      <c r="Q92" t="str">
        <f t="shared" si="21"/>
        <v>LR-Mosnang</v>
      </c>
      <c r="S92">
        <v>91</v>
      </c>
      <c r="T92" t="s">
        <v>355</v>
      </c>
      <c r="U92" t="s">
        <v>439</v>
      </c>
      <c r="V92">
        <v>2006</v>
      </c>
      <c r="W92" t="s">
        <v>236</v>
      </c>
      <c r="X92" t="s">
        <v>497</v>
      </c>
      <c r="Y92">
        <v>2074</v>
      </c>
      <c r="Z92">
        <v>206</v>
      </c>
    </row>
    <row r="93" spans="1:26" x14ac:dyDescent="0.25">
      <c r="A93">
        <v>92</v>
      </c>
      <c r="B93" t="s">
        <v>238</v>
      </c>
      <c r="C93">
        <v>79</v>
      </c>
      <c r="D93" t="s">
        <v>239</v>
      </c>
      <c r="E93" t="s">
        <v>240</v>
      </c>
      <c r="F93" s="1">
        <v>1.4402777777777778</v>
      </c>
      <c r="G93" s="2">
        <v>0.14374999999999999</v>
      </c>
      <c r="H93" s="6"/>
      <c r="I93" s="4">
        <f t="shared" si="13"/>
        <v>1979</v>
      </c>
      <c r="J93" s="5">
        <f t="shared" si="17"/>
        <v>2074</v>
      </c>
      <c r="K93" s="5">
        <f t="shared" si="18"/>
        <v>207</v>
      </c>
      <c r="L93" t="str">
        <f t="shared" si="14"/>
        <v>Marty</v>
      </c>
      <c r="M93" t="str">
        <f t="shared" si="15"/>
        <v>Stefan</v>
      </c>
      <c r="N93" t="str">
        <f t="shared" si="19"/>
        <v>Stefan</v>
      </c>
      <c r="O93" t="str">
        <f t="shared" si="16"/>
        <v>Stefan</v>
      </c>
      <c r="P93" t="str">
        <f t="shared" si="20"/>
        <v>Steinen</v>
      </c>
      <c r="Q93" t="str">
        <f t="shared" si="21"/>
        <v>smrun-/-crespo.ch-/-erox</v>
      </c>
      <c r="S93">
        <v>92</v>
      </c>
      <c r="T93" t="s">
        <v>356</v>
      </c>
      <c r="U93" t="s">
        <v>396</v>
      </c>
      <c r="V93">
        <v>1979</v>
      </c>
      <c r="W93" t="s">
        <v>239</v>
      </c>
      <c r="X93" t="s">
        <v>498</v>
      </c>
      <c r="Y93">
        <v>2074</v>
      </c>
      <c r="Z93">
        <v>207</v>
      </c>
    </row>
    <row r="94" spans="1:26" x14ac:dyDescent="0.25">
      <c r="A94">
        <v>93</v>
      </c>
      <c r="B94" t="s">
        <v>241</v>
      </c>
      <c r="C94">
        <v>1</v>
      </c>
      <c r="D94" t="s">
        <v>242</v>
      </c>
      <c r="E94" t="s">
        <v>243</v>
      </c>
      <c r="F94" s="1">
        <v>1.4430555555555555</v>
      </c>
      <c r="G94" s="2">
        <v>0.14374999999999999</v>
      </c>
      <c r="H94" s="6"/>
      <c r="I94" s="4">
        <f t="shared" si="13"/>
        <v>2001</v>
      </c>
      <c r="J94" s="5">
        <f t="shared" si="17"/>
        <v>2078</v>
      </c>
      <c r="K94" s="5">
        <f t="shared" si="18"/>
        <v>207</v>
      </c>
      <c r="L94" t="str">
        <f t="shared" si="14"/>
        <v>Aase</v>
      </c>
      <c r="M94" t="str">
        <f t="shared" si="15"/>
        <v>Njaal</v>
      </c>
      <c r="N94" t="str">
        <f t="shared" si="19"/>
        <v>Njaal</v>
      </c>
      <c r="O94" t="str">
        <f t="shared" si="16"/>
        <v>Njaal</v>
      </c>
      <c r="P94" t="str">
        <f t="shared" si="20"/>
        <v>Hüntwangen</v>
      </c>
      <c r="Q94" t="str">
        <f t="shared" si="21"/>
        <v>LC-Rafzerfeld</v>
      </c>
      <c r="S94">
        <v>93</v>
      </c>
      <c r="T94" t="s">
        <v>357</v>
      </c>
      <c r="U94" t="s">
        <v>440</v>
      </c>
      <c r="V94">
        <v>2001</v>
      </c>
      <c r="W94" t="s">
        <v>242</v>
      </c>
      <c r="X94" t="s">
        <v>499</v>
      </c>
      <c r="Y94">
        <v>2078</v>
      </c>
      <c r="Z94">
        <v>207</v>
      </c>
    </row>
    <row r="95" spans="1:26" x14ac:dyDescent="0.25">
      <c r="A95">
        <v>94</v>
      </c>
      <c r="B95" t="s">
        <v>244</v>
      </c>
      <c r="C95">
        <v>91</v>
      </c>
      <c r="D95" t="s">
        <v>23</v>
      </c>
      <c r="E95" t="s">
        <v>24</v>
      </c>
      <c r="F95" s="1">
        <v>1.4458333333333333</v>
      </c>
      <c r="G95" s="2">
        <v>0.14374999999999999</v>
      </c>
      <c r="H95" s="6"/>
      <c r="I95" s="4">
        <f t="shared" si="13"/>
        <v>1991</v>
      </c>
      <c r="J95" s="5">
        <f t="shared" si="17"/>
        <v>2082</v>
      </c>
      <c r="K95" s="5">
        <f t="shared" si="18"/>
        <v>207</v>
      </c>
      <c r="L95" t="str">
        <f t="shared" si="14"/>
        <v>Alcala</v>
      </c>
      <c r="M95" t="str">
        <f t="shared" si="15"/>
        <v>Adrià</v>
      </c>
      <c r="N95" t="str">
        <f t="shared" si="19"/>
        <v>Adrià</v>
      </c>
      <c r="O95" t="str">
        <f t="shared" si="16"/>
        <v>Adrià</v>
      </c>
      <c r="P95" t="str">
        <f t="shared" si="20"/>
        <v>Langenthal</v>
      </c>
      <c r="Q95" t="str">
        <f t="shared" si="21"/>
        <v>LV-Langenthal</v>
      </c>
      <c r="S95">
        <v>94</v>
      </c>
      <c r="T95" t="s">
        <v>358</v>
      </c>
      <c r="U95" t="s">
        <v>441</v>
      </c>
      <c r="V95">
        <v>1991</v>
      </c>
      <c r="W95" t="s">
        <v>23</v>
      </c>
      <c r="X95" t="s">
        <v>449</v>
      </c>
      <c r="Y95">
        <v>2082</v>
      </c>
      <c r="Z95">
        <v>207</v>
      </c>
    </row>
    <row r="96" spans="1:26" x14ac:dyDescent="0.25">
      <c r="A96">
        <v>95</v>
      </c>
      <c r="B96" t="s">
        <v>245</v>
      </c>
      <c r="C96">
        <v>79</v>
      </c>
      <c r="D96" t="s">
        <v>246</v>
      </c>
      <c r="F96" s="1">
        <v>1.4486111111111111</v>
      </c>
      <c r="G96" s="2">
        <v>0.14444444444444443</v>
      </c>
      <c r="H96" s="6"/>
      <c r="I96" s="4">
        <f t="shared" si="13"/>
        <v>1979</v>
      </c>
      <c r="J96" s="5">
        <f t="shared" si="17"/>
        <v>2086</v>
      </c>
      <c r="K96" s="5">
        <f t="shared" si="18"/>
        <v>208</v>
      </c>
      <c r="L96" t="str">
        <f t="shared" si="14"/>
        <v>Aeschlimann</v>
      </c>
      <c r="M96" t="str">
        <f t="shared" si="15"/>
        <v>Gilles</v>
      </c>
      <c r="N96" t="str">
        <f t="shared" si="19"/>
        <v>Gilles</v>
      </c>
      <c r="O96" t="str">
        <f t="shared" si="16"/>
        <v>Gilles</v>
      </c>
      <c r="P96" t="str">
        <f t="shared" si="20"/>
        <v>Le-Locle</v>
      </c>
      <c r="Q96" t="str">
        <f t="shared" si="21"/>
        <v/>
      </c>
      <c r="S96">
        <v>95</v>
      </c>
      <c r="T96" t="s">
        <v>359</v>
      </c>
      <c r="U96" t="s">
        <v>442</v>
      </c>
      <c r="V96">
        <v>1979</v>
      </c>
      <c r="W96" t="s">
        <v>500</v>
      </c>
      <c r="X96" t="s">
        <v>465</v>
      </c>
      <c r="Y96">
        <v>2086</v>
      </c>
      <c r="Z96">
        <v>208</v>
      </c>
    </row>
    <row r="97" spans="1:26" x14ac:dyDescent="0.25">
      <c r="A97">
        <v>96</v>
      </c>
      <c r="B97" t="s">
        <v>247</v>
      </c>
      <c r="C97">
        <v>97</v>
      </c>
      <c r="D97" t="s">
        <v>248</v>
      </c>
      <c r="E97" t="s">
        <v>148</v>
      </c>
      <c r="F97" s="1">
        <v>1.4493055555555556</v>
      </c>
      <c r="G97" s="2">
        <v>0.14444444444444443</v>
      </c>
      <c r="H97" s="6"/>
      <c r="I97" s="4">
        <f t="shared" si="13"/>
        <v>1997</v>
      </c>
      <c r="J97" s="5">
        <f t="shared" si="17"/>
        <v>2087</v>
      </c>
      <c r="K97" s="5">
        <f t="shared" si="18"/>
        <v>208</v>
      </c>
      <c r="L97" t="str">
        <f t="shared" si="14"/>
        <v>Blättler</v>
      </c>
      <c r="M97" t="str">
        <f t="shared" si="15"/>
        <v>Remo</v>
      </c>
      <c r="N97" t="str">
        <f t="shared" si="19"/>
        <v>Remo</v>
      </c>
      <c r="O97" t="str">
        <f t="shared" si="16"/>
        <v>Remo</v>
      </c>
      <c r="P97" t="str">
        <f t="shared" si="20"/>
        <v>Stans</v>
      </c>
      <c r="Q97" t="str">
        <f t="shared" si="21"/>
        <v>LA-Nidwalden</v>
      </c>
      <c r="S97">
        <v>96</v>
      </c>
      <c r="T97" t="s">
        <v>360</v>
      </c>
      <c r="U97" t="s">
        <v>443</v>
      </c>
      <c r="V97">
        <v>1997</v>
      </c>
      <c r="W97" t="s">
        <v>248</v>
      </c>
      <c r="X97" t="s">
        <v>479</v>
      </c>
      <c r="Y97">
        <v>2087</v>
      </c>
      <c r="Z97">
        <v>208</v>
      </c>
    </row>
    <row r="98" spans="1:26" x14ac:dyDescent="0.25">
      <c r="A98">
        <v>97</v>
      </c>
      <c r="B98" t="s">
        <v>249</v>
      </c>
      <c r="C98">
        <v>82</v>
      </c>
      <c r="D98" t="s">
        <v>250</v>
      </c>
      <c r="E98" t="s">
        <v>251</v>
      </c>
      <c r="F98" s="1">
        <v>1.45</v>
      </c>
      <c r="G98" s="2">
        <v>0.14444444444444443</v>
      </c>
      <c r="H98" s="6"/>
      <c r="I98" s="4">
        <f t="shared" si="13"/>
        <v>1982</v>
      </c>
      <c r="J98" s="5">
        <f t="shared" si="17"/>
        <v>2088</v>
      </c>
      <c r="K98" s="5">
        <f t="shared" si="18"/>
        <v>208</v>
      </c>
      <c r="L98" t="str">
        <f t="shared" si="14"/>
        <v>Albuquerque</v>
      </c>
      <c r="M98" t="str">
        <f t="shared" si="15"/>
        <v>Bruno</v>
      </c>
      <c r="N98" t="str">
        <f t="shared" si="19"/>
        <v>Bruno</v>
      </c>
      <c r="O98" t="str">
        <f t="shared" si="16"/>
        <v>Bruno</v>
      </c>
      <c r="P98" t="str">
        <f t="shared" si="20"/>
        <v>Epautheyres</v>
      </c>
      <c r="Q98" t="str">
        <f t="shared" si="21"/>
        <v>USY-/-Trilogie-Sport</v>
      </c>
      <c r="S98">
        <v>97</v>
      </c>
      <c r="T98" t="s">
        <v>361</v>
      </c>
      <c r="U98" t="s">
        <v>444</v>
      </c>
      <c r="V98">
        <v>1982</v>
      </c>
      <c r="W98" t="s">
        <v>250</v>
      </c>
      <c r="X98" t="s">
        <v>501</v>
      </c>
      <c r="Y98">
        <v>2088</v>
      </c>
      <c r="Z98">
        <v>208</v>
      </c>
    </row>
    <row r="99" spans="1:26" x14ac:dyDescent="0.25">
      <c r="A99">
        <v>98</v>
      </c>
      <c r="B99" t="s">
        <v>252</v>
      </c>
      <c r="C99">
        <v>95</v>
      </c>
      <c r="D99" t="s">
        <v>253</v>
      </c>
      <c r="E99" t="s">
        <v>254</v>
      </c>
      <c r="F99" s="1">
        <v>1.4541666666666666</v>
      </c>
      <c r="G99" s="2">
        <v>0.1451388888888889</v>
      </c>
      <c r="H99" s="6"/>
      <c r="I99" s="4">
        <f t="shared" si="13"/>
        <v>1995</v>
      </c>
      <c r="J99" s="5">
        <f t="shared" si="17"/>
        <v>2094</v>
      </c>
      <c r="K99" s="5">
        <f t="shared" si="18"/>
        <v>209</v>
      </c>
      <c r="L99" t="str">
        <f t="shared" si="14"/>
        <v>Kloter</v>
      </c>
      <c r="M99" t="str">
        <f t="shared" si="15"/>
        <v>Marc</v>
      </c>
      <c r="N99" t="str">
        <f t="shared" si="19"/>
        <v>Marc</v>
      </c>
      <c r="O99" t="str">
        <f t="shared" si="16"/>
        <v>Marc</v>
      </c>
      <c r="P99" t="str">
        <f t="shared" si="20"/>
        <v>Wettingen</v>
      </c>
      <c r="Q99" t="str">
        <f t="shared" si="21"/>
        <v>Triathlon-Club-Baden</v>
      </c>
      <c r="S99">
        <v>98</v>
      </c>
      <c r="T99" t="s">
        <v>362</v>
      </c>
      <c r="U99" t="s">
        <v>402</v>
      </c>
      <c r="V99">
        <v>1995</v>
      </c>
      <c r="W99" t="s">
        <v>253</v>
      </c>
      <c r="X99" t="s">
        <v>502</v>
      </c>
      <c r="Y99">
        <v>2094</v>
      </c>
      <c r="Z99">
        <v>209</v>
      </c>
    </row>
    <row r="100" spans="1:26" x14ac:dyDescent="0.25">
      <c r="A100">
        <v>99</v>
      </c>
      <c r="B100" t="s">
        <v>255</v>
      </c>
      <c r="C100">
        <v>6</v>
      </c>
      <c r="D100" t="s">
        <v>256</v>
      </c>
      <c r="E100" t="s">
        <v>257</v>
      </c>
      <c r="F100" s="1">
        <v>1.45625</v>
      </c>
      <c r="G100" s="2">
        <v>0.1451388888888889</v>
      </c>
      <c r="H100" s="6"/>
      <c r="I100" s="4">
        <f t="shared" si="13"/>
        <v>2006</v>
      </c>
      <c r="J100" s="5">
        <f t="shared" si="17"/>
        <v>2097</v>
      </c>
      <c r="K100" s="5">
        <f t="shared" si="18"/>
        <v>209</v>
      </c>
      <c r="L100" t="str">
        <f t="shared" si="14"/>
        <v>Jurt</v>
      </c>
      <c r="M100" t="str">
        <f t="shared" si="15"/>
        <v>Mario</v>
      </c>
      <c r="N100" t="str">
        <f t="shared" si="19"/>
        <v>Mario</v>
      </c>
      <c r="O100" t="str">
        <f t="shared" si="16"/>
        <v>Mario</v>
      </c>
      <c r="P100" t="str">
        <f t="shared" si="20"/>
        <v>Faulensee</v>
      </c>
      <c r="Q100" t="str">
        <f t="shared" si="21"/>
        <v>LC-Scharnachtal</v>
      </c>
      <c r="S100">
        <v>99</v>
      </c>
      <c r="T100" t="s">
        <v>363</v>
      </c>
      <c r="U100" t="s">
        <v>445</v>
      </c>
      <c r="V100">
        <v>2006</v>
      </c>
      <c r="W100" t="s">
        <v>256</v>
      </c>
      <c r="X100" t="s">
        <v>503</v>
      </c>
      <c r="Y100">
        <v>2097</v>
      </c>
      <c r="Z100">
        <v>209</v>
      </c>
    </row>
    <row r="101" spans="1:26" x14ac:dyDescent="0.25">
      <c r="A101">
        <v>100</v>
      </c>
      <c r="B101" t="s">
        <v>258</v>
      </c>
      <c r="C101">
        <v>90</v>
      </c>
      <c r="D101" t="s">
        <v>259</v>
      </c>
      <c r="F101" s="1">
        <v>1.45625</v>
      </c>
      <c r="G101" s="2">
        <v>0.1451388888888889</v>
      </c>
      <c r="H101" s="6"/>
      <c r="I101" s="4">
        <f t="shared" si="13"/>
        <v>1990</v>
      </c>
      <c r="J101" s="5">
        <f t="shared" si="17"/>
        <v>2097</v>
      </c>
      <c r="K101" s="5">
        <f t="shared" si="18"/>
        <v>209</v>
      </c>
      <c r="L101" t="str">
        <f t="shared" si="14"/>
        <v>Kohler</v>
      </c>
      <c r="M101" t="str">
        <f t="shared" si="15"/>
        <v>Christof</v>
      </c>
      <c r="N101" t="str">
        <f t="shared" si="19"/>
        <v>Christof</v>
      </c>
      <c r="O101" t="str">
        <f t="shared" si="16"/>
        <v>Christof</v>
      </c>
      <c r="P101" t="str">
        <f t="shared" si="20"/>
        <v>Wasen-im-Emmental</v>
      </c>
      <c r="Q101" t="str">
        <f t="shared" si="21"/>
        <v/>
      </c>
      <c r="S101">
        <v>100</v>
      </c>
      <c r="T101" t="s">
        <v>364</v>
      </c>
      <c r="U101" t="s">
        <v>446</v>
      </c>
      <c r="V101">
        <v>1990</v>
      </c>
      <c r="W101" t="s">
        <v>504</v>
      </c>
      <c r="X101" t="s">
        <v>465</v>
      </c>
      <c r="Y101">
        <v>2097</v>
      </c>
      <c r="Z101">
        <v>209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2714-F237-4F69-8100-536C342DEE0B}">
  <dimension ref="A1:H101"/>
  <sheetViews>
    <sheetView tabSelected="1" workbookViewId="0">
      <selection activeCell="F3" sqref="F3"/>
    </sheetView>
  </sheetViews>
  <sheetFormatPr defaultRowHeight="15" x14ac:dyDescent="0.25"/>
  <cols>
    <col min="1" max="1" width="8.42578125" bestFit="1" customWidth="1"/>
    <col min="2" max="2" width="15.28515625" bestFit="1" customWidth="1"/>
    <col min="3" max="3" width="21.5703125" bestFit="1" customWidth="1"/>
    <col min="4" max="4" width="10.5703125" bestFit="1" customWidth="1"/>
    <col min="5" max="5" width="20.140625" bestFit="1" customWidth="1"/>
    <col min="6" max="6" width="36" bestFit="1" customWidth="1"/>
    <col min="7" max="7" width="6.7109375" bestFit="1" customWidth="1"/>
    <col min="8" max="8" width="9.28515625" bestFit="1" customWidth="1"/>
  </cols>
  <sheetData>
    <row r="1" spans="1:8" x14ac:dyDescent="0.25">
      <c r="A1" t="s">
        <v>551</v>
      </c>
      <c r="B1" t="s">
        <v>267</v>
      </c>
      <c r="C1" t="s">
        <v>268</v>
      </c>
      <c r="D1" t="s">
        <v>262</v>
      </c>
      <c r="E1" t="s">
        <v>263</v>
      </c>
      <c r="F1" t="s">
        <v>264</v>
      </c>
      <c r="G1" t="s">
        <v>266</v>
      </c>
      <c r="H1" t="s">
        <v>552</v>
      </c>
    </row>
    <row r="2" spans="1:8" x14ac:dyDescent="0.25">
      <c r="A2">
        <v>1</v>
      </c>
      <c r="B2" t="s">
        <v>271</v>
      </c>
      <c r="C2" t="s">
        <v>365</v>
      </c>
      <c r="D2">
        <v>1993</v>
      </c>
      <c r="E2" t="s">
        <v>14</v>
      </c>
      <c r="F2" t="s">
        <v>543</v>
      </c>
      <c r="G2">
        <v>1755</v>
      </c>
      <c r="H2">
        <v>175</v>
      </c>
    </row>
    <row r="3" spans="1:8" x14ac:dyDescent="0.25">
      <c r="A3">
        <v>2</v>
      </c>
      <c r="B3" t="s">
        <v>528</v>
      </c>
      <c r="C3" t="s">
        <v>366</v>
      </c>
      <c r="D3">
        <v>1992</v>
      </c>
      <c r="E3" t="s">
        <v>17</v>
      </c>
      <c r="F3" t="s">
        <v>448</v>
      </c>
      <c r="G3">
        <v>1762</v>
      </c>
      <c r="H3">
        <v>176</v>
      </c>
    </row>
    <row r="4" spans="1:8" x14ac:dyDescent="0.25">
      <c r="A4">
        <v>3</v>
      </c>
      <c r="B4" t="s">
        <v>273</v>
      </c>
      <c r="C4" t="s">
        <v>367</v>
      </c>
      <c r="D4">
        <v>1989</v>
      </c>
      <c r="E4" t="s">
        <v>23</v>
      </c>
      <c r="F4" t="s">
        <v>449</v>
      </c>
      <c r="G4">
        <v>1767</v>
      </c>
      <c r="H4">
        <v>176</v>
      </c>
    </row>
    <row r="5" spans="1:8" x14ac:dyDescent="0.25">
      <c r="A5">
        <v>4</v>
      </c>
      <c r="B5" t="s">
        <v>274</v>
      </c>
      <c r="C5" t="s">
        <v>368</v>
      </c>
      <c r="D5">
        <v>1995</v>
      </c>
      <c r="E5" t="s">
        <v>29</v>
      </c>
      <c r="F5" t="s">
        <v>450</v>
      </c>
      <c r="G5">
        <v>1781</v>
      </c>
      <c r="H5">
        <v>178</v>
      </c>
    </row>
    <row r="6" spans="1:8" x14ac:dyDescent="0.25">
      <c r="A6">
        <v>5</v>
      </c>
      <c r="B6" t="s">
        <v>524</v>
      </c>
      <c r="C6" t="s">
        <v>369</v>
      </c>
      <c r="D6">
        <v>1991</v>
      </c>
      <c r="E6" t="s">
        <v>529</v>
      </c>
      <c r="F6" t="s">
        <v>451</v>
      </c>
      <c r="G6">
        <v>1797</v>
      </c>
      <c r="H6">
        <v>179</v>
      </c>
    </row>
    <row r="7" spans="1:8" x14ac:dyDescent="0.25">
      <c r="A7">
        <v>6</v>
      </c>
      <c r="B7" t="s">
        <v>276</v>
      </c>
      <c r="C7" t="s">
        <v>370</v>
      </c>
      <c r="D7">
        <v>1996</v>
      </c>
      <c r="E7" t="s">
        <v>37</v>
      </c>
      <c r="F7" t="s">
        <v>543</v>
      </c>
      <c r="G7">
        <v>1805</v>
      </c>
      <c r="H7">
        <v>180</v>
      </c>
    </row>
    <row r="8" spans="1:8" x14ac:dyDescent="0.25">
      <c r="A8">
        <v>7</v>
      </c>
      <c r="B8" t="s">
        <v>277</v>
      </c>
      <c r="C8" t="s">
        <v>371</v>
      </c>
      <c r="D8">
        <v>1995</v>
      </c>
      <c r="E8" t="s">
        <v>544</v>
      </c>
      <c r="F8" t="s">
        <v>40</v>
      </c>
      <c r="G8">
        <v>1816</v>
      </c>
      <c r="H8">
        <v>181</v>
      </c>
    </row>
    <row r="9" spans="1:8" x14ac:dyDescent="0.25">
      <c r="A9">
        <v>8</v>
      </c>
      <c r="B9" t="s">
        <v>278</v>
      </c>
      <c r="C9" t="s">
        <v>372</v>
      </c>
      <c r="D9">
        <v>2000</v>
      </c>
      <c r="E9" t="s">
        <v>29</v>
      </c>
      <c r="F9" t="s">
        <v>450</v>
      </c>
      <c r="G9">
        <v>1818</v>
      </c>
      <c r="H9">
        <v>181</v>
      </c>
    </row>
    <row r="10" spans="1:8" x14ac:dyDescent="0.25">
      <c r="A10">
        <v>9</v>
      </c>
      <c r="B10" t="s">
        <v>516</v>
      </c>
      <c r="C10" t="s">
        <v>417</v>
      </c>
      <c r="D10">
        <v>2002</v>
      </c>
      <c r="E10" t="s">
        <v>452</v>
      </c>
      <c r="F10" t="s">
        <v>545</v>
      </c>
      <c r="G10">
        <v>1823</v>
      </c>
      <c r="H10">
        <v>182</v>
      </c>
    </row>
    <row r="11" spans="1:8" x14ac:dyDescent="0.25">
      <c r="A11">
        <v>10</v>
      </c>
      <c r="B11" t="s">
        <v>280</v>
      </c>
      <c r="C11" t="s">
        <v>374</v>
      </c>
      <c r="D11">
        <v>1992</v>
      </c>
      <c r="E11" t="s">
        <v>46</v>
      </c>
      <c r="F11" t="s">
        <v>507</v>
      </c>
      <c r="G11">
        <v>1827</v>
      </c>
      <c r="H11">
        <v>182</v>
      </c>
    </row>
    <row r="12" spans="1:8" x14ac:dyDescent="0.25">
      <c r="A12">
        <v>11</v>
      </c>
      <c r="B12" t="s">
        <v>281</v>
      </c>
      <c r="C12" t="s">
        <v>375</v>
      </c>
      <c r="D12">
        <v>1999</v>
      </c>
      <c r="E12" t="s">
        <v>454</v>
      </c>
      <c r="F12" t="s">
        <v>451</v>
      </c>
      <c r="G12">
        <v>1832</v>
      </c>
      <c r="H12">
        <v>183</v>
      </c>
    </row>
    <row r="13" spans="1:8" x14ac:dyDescent="0.25">
      <c r="A13">
        <v>12</v>
      </c>
      <c r="B13" t="s">
        <v>517</v>
      </c>
      <c r="C13" t="s">
        <v>376</v>
      </c>
      <c r="D13">
        <v>1996</v>
      </c>
      <c r="E13" t="s">
        <v>55</v>
      </c>
      <c r="F13" t="s">
        <v>448</v>
      </c>
      <c r="G13">
        <v>1837</v>
      </c>
      <c r="H13">
        <v>183</v>
      </c>
    </row>
    <row r="14" spans="1:8" x14ac:dyDescent="0.25">
      <c r="A14">
        <v>13</v>
      </c>
      <c r="B14" t="s">
        <v>283</v>
      </c>
      <c r="C14" t="s">
        <v>377</v>
      </c>
      <c r="D14">
        <v>1994</v>
      </c>
      <c r="E14" t="s">
        <v>455</v>
      </c>
      <c r="F14" t="s">
        <v>450</v>
      </c>
      <c r="G14">
        <v>1838</v>
      </c>
      <c r="H14">
        <v>183</v>
      </c>
    </row>
    <row r="15" spans="1:8" x14ac:dyDescent="0.25">
      <c r="A15">
        <v>14</v>
      </c>
      <c r="B15" t="s">
        <v>284</v>
      </c>
      <c r="C15" t="s">
        <v>378</v>
      </c>
      <c r="D15">
        <v>2003</v>
      </c>
      <c r="E15" t="s">
        <v>62</v>
      </c>
      <c r="F15" t="s">
        <v>456</v>
      </c>
      <c r="G15">
        <v>1862</v>
      </c>
      <c r="H15">
        <v>186</v>
      </c>
    </row>
    <row r="16" spans="1:8" x14ac:dyDescent="0.25">
      <c r="A16">
        <v>15</v>
      </c>
      <c r="B16" t="s">
        <v>285</v>
      </c>
      <c r="C16" t="s">
        <v>379</v>
      </c>
      <c r="D16">
        <v>1992</v>
      </c>
      <c r="E16" t="s">
        <v>65</v>
      </c>
      <c r="F16" t="s">
        <v>457</v>
      </c>
      <c r="G16">
        <v>1873</v>
      </c>
      <c r="H16">
        <v>187</v>
      </c>
    </row>
    <row r="17" spans="1:8" x14ac:dyDescent="0.25">
      <c r="A17">
        <v>16</v>
      </c>
      <c r="B17" t="s">
        <v>286</v>
      </c>
      <c r="C17" t="s">
        <v>380</v>
      </c>
      <c r="D17">
        <v>1996</v>
      </c>
      <c r="E17" t="s">
        <v>68</v>
      </c>
      <c r="F17" t="s">
        <v>450</v>
      </c>
      <c r="G17">
        <v>1874</v>
      </c>
      <c r="H17">
        <v>187</v>
      </c>
    </row>
    <row r="18" spans="1:8" x14ac:dyDescent="0.25">
      <c r="A18">
        <v>17</v>
      </c>
      <c r="B18" t="s">
        <v>287</v>
      </c>
      <c r="C18" t="s">
        <v>381</v>
      </c>
      <c r="D18">
        <v>1994</v>
      </c>
      <c r="E18" t="s">
        <v>70</v>
      </c>
      <c r="F18" t="s">
        <v>543</v>
      </c>
      <c r="G18">
        <v>1881</v>
      </c>
      <c r="H18">
        <v>188</v>
      </c>
    </row>
    <row r="19" spans="1:8" x14ac:dyDescent="0.25">
      <c r="A19">
        <v>18</v>
      </c>
      <c r="B19" t="s">
        <v>288</v>
      </c>
      <c r="C19" t="s">
        <v>382</v>
      </c>
      <c r="D19">
        <v>1999</v>
      </c>
      <c r="E19" t="s">
        <v>72</v>
      </c>
      <c r="F19" t="s">
        <v>458</v>
      </c>
      <c r="G19">
        <v>1895</v>
      </c>
      <c r="H19">
        <v>189</v>
      </c>
    </row>
    <row r="20" spans="1:8" x14ac:dyDescent="0.25">
      <c r="A20">
        <v>19</v>
      </c>
      <c r="B20" t="s">
        <v>289</v>
      </c>
      <c r="C20" t="s">
        <v>383</v>
      </c>
      <c r="D20">
        <v>1985</v>
      </c>
      <c r="E20" t="s">
        <v>32</v>
      </c>
      <c r="F20" t="s">
        <v>459</v>
      </c>
      <c r="G20">
        <v>1898</v>
      </c>
      <c r="H20">
        <v>189</v>
      </c>
    </row>
    <row r="21" spans="1:8" x14ac:dyDescent="0.25">
      <c r="A21">
        <v>20</v>
      </c>
      <c r="B21" t="s">
        <v>290</v>
      </c>
      <c r="C21" t="s">
        <v>384</v>
      </c>
      <c r="D21">
        <v>2003</v>
      </c>
      <c r="E21" t="s">
        <v>77</v>
      </c>
      <c r="F21" t="s">
        <v>460</v>
      </c>
      <c r="G21">
        <v>1900</v>
      </c>
      <c r="H21">
        <v>189</v>
      </c>
    </row>
    <row r="22" spans="1:8" x14ac:dyDescent="0.25">
      <c r="A22">
        <v>21</v>
      </c>
      <c r="B22" t="s">
        <v>291</v>
      </c>
      <c r="C22" t="s">
        <v>385</v>
      </c>
      <c r="D22">
        <v>1982</v>
      </c>
      <c r="E22" t="s">
        <v>461</v>
      </c>
      <c r="F22" t="s">
        <v>457</v>
      </c>
      <c r="G22">
        <v>1903</v>
      </c>
      <c r="H22">
        <v>190</v>
      </c>
    </row>
    <row r="23" spans="1:8" x14ac:dyDescent="0.25">
      <c r="A23">
        <v>22</v>
      </c>
      <c r="B23" t="s">
        <v>278</v>
      </c>
      <c r="C23" t="s">
        <v>386</v>
      </c>
      <c r="D23">
        <v>1998</v>
      </c>
      <c r="E23" t="s">
        <v>82</v>
      </c>
      <c r="F23" t="s">
        <v>450</v>
      </c>
      <c r="G23">
        <v>1905</v>
      </c>
      <c r="H23">
        <v>190</v>
      </c>
    </row>
    <row r="24" spans="1:8" x14ac:dyDescent="0.25">
      <c r="A24">
        <v>23</v>
      </c>
      <c r="B24" t="s">
        <v>292</v>
      </c>
      <c r="C24" t="s">
        <v>387</v>
      </c>
      <c r="D24">
        <v>1992</v>
      </c>
      <c r="E24" t="s">
        <v>529</v>
      </c>
      <c r="F24" t="s">
        <v>457</v>
      </c>
      <c r="G24">
        <v>1906</v>
      </c>
      <c r="H24">
        <v>190</v>
      </c>
    </row>
    <row r="25" spans="1:8" x14ac:dyDescent="0.25">
      <c r="A25">
        <v>24</v>
      </c>
      <c r="B25" t="s">
        <v>293</v>
      </c>
      <c r="C25" t="s">
        <v>388</v>
      </c>
      <c r="D25">
        <v>2001</v>
      </c>
      <c r="E25" t="s">
        <v>85</v>
      </c>
      <c r="F25" t="s">
        <v>462</v>
      </c>
      <c r="G25">
        <v>1907</v>
      </c>
      <c r="H25">
        <v>190</v>
      </c>
    </row>
    <row r="26" spans="1:8" x14ac:dyDescent="0.25">
      <c r="A26">
        <v>25</v>
      </c>
      <c r="B26" t="s">
        <v>525</v>
      </c>
      <c r="C26" t="s">
        <v>389</v>
      </c>
      <c r="D26">
        <v>1996</v>
      </c>
      <c r="E26" t="s">
        <v>88</v>
      </c>
      <c r="F26" t="s">
        <v>451</v>
      </c>
      <c r="G26">
        <v>1907</v>
      </c>
      <c r="H26">
        <v>190</v>
      </c>
    </row>
    <row r="27" spans="1:8" x14ac:dyDescent="0.25">
      <c r="A27">
        <v>26</v>
      </c>
      <c r="B27" t="s">
        <v>295</v>
      </c>
      <c r="C27" t="s">
        <v>390</v>
      </c>
      <c r="D27">
        <v>1999</v>
      </c>
      <c r="E27" t="s">
        <v>90</v>
      </c>
      <c r="F27" t="s">
        <v>546</v>
      </c>
      <c r="G27">
        <v>1910</v>
      </c>
      <c r="H27">
        <v>190</v>
      </c>
    </row>
    <row r="28" spans="1:8" x14ac:dyDescent="0.25">
      <c r="A28">
        <v>27</v>
      </c>
      <c r="B28" t="s">
        <v>296</v>
      </c>
      <c r="C28" t="s">
        <v>391</v>
      </c>
      <c r="D28">
        <v>2000</v>
      </c>
      <c r="E28" t="s">
        <v>23</v>
      </c>
      <c r="F28" t="s">
        <v>449</v>
      </c>
      <c r="G28">
        <v>1911</v>
      </c>
      <c r="H28">
        <v>190</v>
      </c>
    </row>
    <row r="29" spans="1:8" x14ac:dyDescent="0.25">
      <c r="A29">
        <v>28</v>
      </c>
      <c r="B29" t="s">
        <v>297</v>
      </c>
      <c r="C29" t="s">
        <v>392</v>
      </c>
      <c r="D29">
        <v>2004</v>
      </c>
      <c r="E29" t="s">
        <v>94</v>
      </c>
      <c r="F29" t="s">
        <v>464</v>
      </c>
      <c r="G29">
        <v>1914</v>
      </c>
      <c r="H29">
        <v>191</v>
      </c>
    </row>
    <row r="30" spans="1:8" x14ac:dyDescent="0.25">
      <c r="A30">
        <v>29</v>
      </c>
      <c r="B30" t="s">
        <v>298</v>
      </c>
      <c r="C30" t="s">
        <v>393</v>
      </c>
      <c r="D30">
        <v>2001</v>
      </c>
      <c r="E30" t="s">
        <v>97</v>
      </c>
      <c r="F30" t="s">
        <v>465</v>
      </c>
      <c r="G30">
        <v>1915</v>
      </c>
      <c r="H30">
        <v>191</v>
      </c>
    </row>
    <row r="31" spans="1:8" x14ac:dyDescent="0.25">
      <c r="A31">
        <v>30</v>
      </c>
      <c r="B31" t="s">
        <v>299</v>
      </c>
      <c r="C31" t="s">
        <v>394</v>
      </c>
      <c r="D31">
        <v>1978</v>
      </c>
      <c r="E31" t="s">
        <v>549</v>
      </c>
      <c r="F31" t="s">
        <v>466</v>
      </c>
      <c r="G31">
        <v>1917</v>
      </c>
      <c r="H31">
        <v>191</v>
      </c>
    </row>
    <row r="32" spans="1:8" x14ac:dyDescent="0.25">
      <c r="A32">
        <v>31</v>
      </c>
      <c r="B32" t="s">
        <v>530</v>
      </c>
      <c r="C32" t="s">
        <v>395</v>
      </c>
      <c r="D32">
        <v>1988</v>
      </c>
      <c r="E32" t="s">
        <v>508</v>
      </c>
      <c r="F32" t="s">
        <v>468</v>
      </c>
      <c r="G32">
        <v>1917</v>
      </c>
      <c r="H32">
        <v>191</v>
      </c>
    </row>
    <row r="33" spans="1:8" x14ac:dyDescent="0.25">
      <c r="A33">
        <v>32</v>
      </c>
      <c r="B33" t="s">
        <v>301</v>
      </c>
      <c r="C33" t="s">
        <v>375</v>
      </c>
      <c r="D33">
        <v>2003</v>
      </c>
      <c r="E33" t="s">
        <v>531</v>
      </c>
      <c r="F33" t="s">
        <v>448</v>
      </c>
      <c r="G33">
        <v>1918</v>
      </c>
      <c r="H33">
        <v>191</v>
      </c>
    </row>
    <row r="34" spans="1:8" x14ac:dyDescent="0.25">
      <c r="A34">
        <v>33</v>
      </c>
      <c r="B34" t="s">
        <v>302</v>
      </c>
      <c r="C34" t="s">
        <v>396</v>
      </c>
      <c r="D34">
        <v>1996</v>
      </c>
      <c r="E34" t="s">
        <v>107</v>
      </c>
      <c r="F34" t="s">
        <v>451</v>
      </c>
      <c r="G34">
        <v>1918</v>
      </c>
      <c r="H34">
        <v>191</v>
      </c>
    </row>
    <row r="35" spans="1:8" x14ac:dyDescent="0.25">
      <c r="A35">
        <v>34</v>
      </c>
      <c r="B35" t="s">
        <v>303</v>
      </c>
      <c r="C35" t="s">
        <v>397</v>
      </c>
      <c r="D35">
        <v>1999</v>
      </c>
      <c r="E35" t="s">
        <v>109</v>
      </c>
      <c r="F35" t="s">
        <v>469</v>
      </c>
      <c r="G35">
        <v>1919</v>
      </c>
      <c r="H35">
        <v>191</v>
      </c>
    </row>
    <row r="36" spans="1:8" x14ac:dyDescent="0.25">
      <c r="A36">
        <v>35</v>
      </c>
      <c r="B36" t="s">
        <v>304</v>
      </c>
      <c r="C36" t="s">
        <v>398</v>
      </c>
      <c r="D36">
        <v>1987</v>
      </c>
      <c r="E36" t="s">
        <v>112</v>
      </c>
      <c r="F36" t="s">
        <v>518</v>
      </c>
      <c r="G36">
        <v>1919</v>
      </c>
      <c r="H36">
        <v>191</v>
      </c>
    </row>
    <row r="37" spans="1:8" x14ac:dyDescent="0.25">
      <c r="A37">
        <v>36</v>
      </c>
      <c r="B37" t="s">
        <v>305</v>
      </c>
      <c r="C37" t="s">
        <v>399</v>
      </c>
      <c r="D37">
        <v>2004</v>
      </c>
      <c r="E37" t="s">
        <v>115</v>
      </c>
      <c r="F37" t="s">
        <v>471</v>
      </c>
      <c r="G37">
        <v>1926</v>
      </c>
      <c r="H37">
        <v>192</v>
      </c>
    </row>
    <row r="38" spans="1:8" x14ac:dyDescent="0.25">
      <c r="A38">
        <v>37</v>
      </c>
      <c r="B38" t="s">
        <v>306</v>
      </c>
      <c r="C38" t="s">
        <v>400</v>
      </c>
      <c r="D38">
        <v>1998</v>
      </c>
      <c r="E38" t="s">
        <v>548</v>
      </c>
      <c r="F38" t="s">
        <v>465</v>
      </c>
      <c r="G38">
        <v>1931</v>
      </c>
      <c r="H38">
        <v>192</v>
      </c>
    </row>
    <row r="39" spans="1:8" x14ac:dyDescent="0.25">
      <c r="A39">
        <v>38</v>
      </c>
      <c r="B39" t="s">
        <v>307</v>
      </c>
      <c r="C39" t="s">
        <v>383</v>
      </c>
      <c r="D39">
        <v>1995</v>
      </c>
      <c r="E39" t="s">
        <v>529</v>
      </c>
      <c r="F39" t="s">
        <v>457</v>
      </c>
      <c r="G39">
        <v>1936</v>
      </c>
      <c r="H39">
        <v>193</v>
      </c>
    </row>
    <row r="40" spans="1:8" x14ac:dyDescent="0.25">
      <c r="A40">
        <v>39</v>
      </c>
      <c r="B40" t="s">
        <v>308</v>
      </c>
      <c r="C40" t="s">
        <v>375</v>
      </c>
      <c r="D40">
        <v>1986</v>
      </c>
      <c r="E40" t="s">
        <v>529</v>
      </c>
      <c r="F40" t="s">
        <v>472</v>
      </c>
      <c r="G40">
        <v>1938</v>
      </c>
      <c r="H40">
        <v>193</v>
      </c>
    </row>
    <row r="41" spans="1:8" x14ac:dyDescent="0.25">
      <c r="A41">
        <v>40</v>
      </c>
      <c r="B41" t="s">
        <v>309</v>
      </c>
      <c r="C41" t="s">
        <v>401</v>
      </c>
      <c r="D41">
        <v>2000</v>
      </c>
      <c r="E41" t="s">
        <v>123</v>
      </c>
      <c r="F41" t="s">
        <v>473</v>
      </c>
      <c r="G41">
        <v>1939</v>
      </c>
      <c r="H41">
        <v>193</v>
      </c>
    </row>
    <row r="42" spans="1:8" x14ac:dyDescent="0.25">
      <c r="A42">
        <v>41</v>
      </c>
      <c r="B42" t="s">
        <v>310</v>
      </c>
      <c r="C42" t="s">
        <v>402</v>
      </c>
      <c r="D42">
        <v>2000</v>
      </c>
      <c r="E42" t="s">
        <v>126</v>
      </c>
      <c r="F42" t="s">
        <v>474</v>
      </c>
      <c r="G42">
        <v>1943</v>
      </c>
      <c r="H42">
        <v>193</v>
      </c>
    </row>
    <row r="43" spans="1:8" x14ac:dyDescent="0.25">
      <c r="A43">
        <v>42</v>
      </c>
      <c r="B43" t="s">
        <v>311</v>
      </c>
      <c r="C43" t="s">
        <v>403</v>
      </c>
      <c r="D43">
        <v>1975</v>
      </c>
      <c r="E43" t="s">
        <v>129</v>
      </c>
      <c r="F43" t="s">
        <v>475</v>
      </c>
      <c r="G43">
        <v>1944</v>
      </c>
      <c r="H43">
        <v>194</v>
      </c>
    </row>
    <row r="44" spans="1:8" x14ac:dyDescent="0.25">
      <c r="A44">
        <v>43</v>
      </c>
      <c r="B44" t="s">
        <v>312</v>
      </c>
      <c r="C44" t="s">
        <v>404</v>
      </c>
      <c r="D44">
        <v>1993</v>
      </c>
      <c r="E44" t="s">
        <v>132</v>
      </c>
      <c r="F44" t="s">
        <v>448</v>
      </c>
      <c r="G44">
        <v>1951</v>
      </c>
      <c r="H44">
        <v>194</v>
      </c>
    </row>
    <row r="45" spans="1:8" x14ac:dyDescent="0.25">
      <c r="A45">
        <v>44</v>
      </c>
      <c r="B45" t="s">
        <v>313</v>
      </c>
      <c r="C45" t="s">
        <v>405</v>
      </c>
      <c r="D45">
        <v>1992</v>
      </c>
      <c r="E45" t="s">
        <v>134</v>
      </c>
      <c r="F45" t="s">
        <v>476</v>
      </c>
      <c r="G45">
        <v>1953</v>
      </c>
      <c r="H45">
        <v>195</v>
      </c>
    </row>
    <row r="46" spans="1:8" x14ac:dyDescent="0.25">
      <c r="A46">
        <v>45</v>
      </c>
      <c r="B46" t="s">
        <v>314</v>
      </c>
      <c r="C46" t="s">
        <v>406</v>
      </c>
      <c r="D46">
        <v>1987</v>
      </c>
      <c r="E46" t="s">
        <v>137</v>
      </c>
      <c r="F46" t="s">
        <v>465</v>
      </c>
      <c r="G46">
        <v>1954</v>
      </c>
      <c r="H46">
        <v>195</v>
      </c>
    </row>
    <row r="47" spans="1:8" x14ac:dyDescent="0.25">
      <c r="A47">
        <v>46</v>
      </c>
      <c r="B47" t="s">
        <v>315</v>
      </c>
      <c r="C47" t="s">
        <v>386</v>
      </c>
      <c r="D47">
        <v>1999</v>
      </c>
      <c r="E47" t="s">
        <v>139</v>
      </c>
      <c r="F47" t="s">
        <v>477</v>
      </c>
      <c r="G47">
        <v>1955</v>
      </c>
      <c r="H47">
        <v>195</v>
      </c>
    </row>
    <row r="48" spans="1:8" x14ac:dyDescent="0.25">
      <c r="A48">
        <v>47</v>
      </c>
      <c r="B48" t="s">
        <v>316</v>
      </c>
      <c r="C48" t="s">
        <v>407</v>
      </c>
      <c r="D48">
        <v>1987</v>
      </c>
      <c r="E48" t="s">
        <v>142</v>
      </c>
      <c r="F48" t="s">
        <v>543</v>
      </c>
      <c r="G48">
        <v>1956</v>
      </c>
      <c r="H48">
        <v>195</v>
      </c>
    </row>
    <row r="49" spans="1:8" x14ac:dyDescent="0.25">
      <c r="A49">
        <v>48</v>
      </c>
      <c r="B49" t="s">
        <v>539</v>
      </c>
      <c r="C49" t="s">
        <v>540</v>
      </c>
      <c r="D49">
        <v>2001</v>
      </c>
      <c r="E49" t="s">
        <v>144</v>
      </c>
      <c r="F49" t="s">
        <v>509</v>
      </c>
      <c r="G49">
        <v>1959</v>
      </c>
      <c r="H49">
        <v>195</v>
      </c>
    </row>
    <row r="50" spans="1:8" x14ac:dyDescent="0.25">
      <c r="A50">
        <v>49</v>
      </c>
      <c r="B50" t="s">
        <v>305</v>
      </c>
      <c r="C50" t="s">
        <v>409</v>
      </c>
      <c r="D50">
        <v>1984</v>
      </c>
      <c r="E50" t="s">
        <v>147</v>
      </c>
      <c r="F50" t="s">
        <v>479</v>
      </c>
      <c r="G50">
        <v>1969</v>
      </c>
      <c r="H50">
        <v>196</v>
      </c>
    </row>
    <row r="51" spans="1:8" x14ac:dyDescent="0.25">
      <c r="A51">
        <v>50</v>
      </c>
      <c r="B51" t="s">
        <v>318</v>
      </c>
      <c r="C51" t="s">
        <v>410</v>
      </c>
      <c r="D51">
        <v>1995</v>
      </c>
      <c r="E51" t="s">
        <v>529</v>
      </c>
      <c r="F51" t="s">
        <v>462</v>
      </c>
      <c r="G51">
        <v>1972</v>
      </c>
      <c r="H51">
        <v>196</v>
      </c>
    </row>
    <row r="52" spans="1:8" x14ac:dyDescent="0.25">
      <c r="A52">
        <v>51</v>
      </c>
      <c r="B52" t="s">
        <v>319</v>
      </c>
      <c r="C52" t="s">
        <v>411</v>
      </c>
      <c r="D52">
        <v>2003</v>
      </c>
      <c r="E52" t="s">
        <v>151</v>
      </c>
      <c r="F52" t="s">
        <v>152</v>
      </c>
      <c r="G52">
        <v>1976</v>
      </c>
      <c r="H52">
        <v>197</v>
      </c>
    </row>
    <row r="53" spans="1:8" x14ac:dyDescent="0.25">
      <c r="A53">
        <v>52</v>
      </c>
      <c r="B53" t="s">
        <v>528</v>
      </c>
      <c r="C53" t="s">
        <v>412</v>
      </c>
      <c r="D53">
        <v>2002</v>
      </c>
      <c r="E53" t="s">
        <v>519</v>
      </c>
      <c r="F53" t="s">
        <v>448</v>
      </c>
      <c r="G53">
        <v>1979</v>
      </c>
      <c r="H53">
        <v>197</v>
      </c>
    </row>
    <row r="54" spans="1:8" x14ac:dyDescent="0.25">
      <c r="A54">
        <v>53</v>
      </c>
      <c r="B54" t="s">
        <v>320</v>
      </c>
      <c r="C54" t="s">
        <v>413</v>
      </c>
      <c r="D54">
        <v>1998</v>
      </c>
      <c r="E54" t="s">
        <v>156</v>
      </c>
      <c r="F54" t="s">
        <v>480</v>
      </c>
      <c r="G54">
        <v>1982</v>
      </c>
      <c r="H54">
        <v>198</v>
      </c>
    </row>
    <row r="55" spans="1:8" x14ac:dyDescent="0.25">
      <c r="A55">
        <v>54</v>
      </c>
      <c r="B55" t="s">
        <v>321</v>
      </c>
      <c r="C55" t="s">
        <v>379</v>
      </c>
      <c r="D55">
        <v>2004</v>
      </c>
      <c r="E55" t="s">
        <v>94</v>
      </c>
      <c r="F55" t="s">
        <v>464</v>
      </c>
      <c r="G55">
        <v>1982</v>
      </c>
      <c r="H55">
        <v>197</v>
      </c>
    </row>
    <row r="56" spans="1:8" x14ac:dyDescent="0.25">
      <c r="A56">
        <v>55</v>
      </c>
      <c r="B56" t="s">
        <v>322</v>
      </c>
      <c r="C56" t="s">
        <v>414</v>
      </c>
      <c r="D56">
        <v>1998</v>
      </c>
      <c r="E56" t="s">
        <v>160</v>
      </c>
      <c r="F56" t="s">
        <v>448</v>
      </c>
      <c r="G56">
        <v>1983</v>
      </c>
      <c r="H56">
        <v>198</v>
      </c>
    </row>
    <row r="57" spans="1:8" x14ac:dyDescent="0.25">
      <c r="A57">
        <v>56</v>
      </c>
      <c r="B57" t="s">
        <v>323</v>
      </c>
      <c r="C57" t="s">
        <v>415</v>
      </c>
      <c r="D57">
        <v>1987</v>
      </c>
      <c r="E57" t="s">
        <v>162</v>
      </c>
      <c r="F57" t="s">
        <v>532</v>
      </c>
      <c r="G57">
        <v>1985</v>
      </c>
      <c r="H57">
        <v>198</v>
      </c>
    </row>
    <row r="58" spans="1:8" x14ac:dyDescent="0.25">
      <c r="A58">
        <v>57</v>
      </c>
      <c r="B58" t="s">
        <v>324</v>
      </c>
      <c r="C58" t="s">
        <v>368</v>
      </c>
      <c r="D58">
        <v>1979</v>
      </c>
      <c r="E58" t="s">
        <v>165</v>
      </c>
      <c r="F58" t="s">
        <v>457</v>
      </c>
      <c r="G58">
        <v>1989</v>
      </c>
      <c r="H58">
        <v>198</v>
      </c>
    </row>
    <row r="59" spans="1:8" x14ac:dyDescent="0.25">
      <c r="A59">
        <v>58</v>
      </c>
      <c r="B59" t="s">
        <v>325</v>
      </c>
      <c r="C59" t="s">
        <v>416</v>
      </c>
      <c r="D59">
        <v>1992</v>
      </c>
      <c r="E59" t="s">
        <v>167</v>
      </c>
      <c r="F59" t="s">
        <v>532</v>
      </c>
      <c r="G59">
        <v>1993</v>
      </c>
      <c r="H59">
        <v>198</v>
      </c>
    </row>
    <row r="60" spans="1:8" x14ac:dyDescent="0.25">
      <c r="A60">
        <v>59</v>
      </c>
      <c r="B60" t="s">
        <v>326</v>
      </c>
      <c r="C60" t="s">
        <v>417</v>
      </c>
      <c r="D60">
        <v>2001</v>
      </c>
      <c r="E60" t="s">
        <v>29</v>
      </c>
      <c r="F60" t="s">
        <v>518</v>
      </c>
      <c r="G60">
        <v>1993</v>
      </c>
      <c r="H60">
        <v>198</v>
      </c>
    </row>
    <row r="61" spans="1:8" x14ac:dyDescent="0.25">
      <c r="A61">
        <v>60</v>
      </c>
      <c r="B61" t="s">
        <v>327</v>
      </c>
      <c r="C61" t="s">
        <v>418</v>
      </c>
      <c r="D61">
        <v>1995</v>
      </c>
      <c r="E61" t="s">
        <v>170</v>
      </c>
      <c r="F61" t="s">
        <v>482</v>
      </c>
      <c r="G61">
        <v>1997</v>
      </c>
      <c r="H61">
        <v>199</v>
      </c>
    </row>
    <row r="62" spans="1:8" x14ac:dyDescent="0.25">
      <c r="A62">
        <v>61</v>
      </c>
      <c r="B62" t="s">
        <v>328</v>
      </c>
      <c r="C62" t="s">
        <v>419</v>
      </c>
      <c r="D62">
        <v>1995</v>
      </c>
      <c r="E62" t="s">
        <v>173</v>
      </c>
      <c r="F62" t="s">
        <v>457</v>
      </c>
      <c r="G62">
        <v>2001</v>
      </c>
      <c r="H62">
        <v>199</v>
      </c>
    </row>
    <row r="63" spans="1:8" x14ac:dyDescent="0.25">
      <c r="A63">
        <v>62</v>
      </c>
      <c r="B63" t="s">
        <v>329</v>
      </c>
      <c r="C63" t="s">
        <v>405</v>
      </c>
      <c r="D63">
        <v>2003</v>
      </c>
      <c r="E63" t="s">
        <v>510</v>
      </c>
      <c r="F63" t="s">
        <v>533</v>
      </c>
      <c r="G63">
        <v>2001</v>
      </c>
      <c r="H63">
        <v>199</v>
      </c>
    </row>
    <row r="64" spans="1:8" x14ac:dyDescent="0.25">
      <c r="A64">
        <v>63</v>
      </c>
      <c r="B64" t="s">
        <v>288</v>
      </c>
      <c r="C64" t="s">
        <v>415</v>
      </c>
      <c r="D64">
        <v>1996</v>
      </c>
      <c r="E64" t="s">
        <v>72</v>
      </c>
      <c r="F64" t="s">
        <v>458</v>
      </c>
      <c r="G64">
        <v>2001</v>
      </c>
      <c r="H64">
        <v>199</v>
      </c>
    </row>
    <row r="65" spans="1:8" x14ac:dyDescent="0.25">
      <c r="A65">
        <v>64</v>
      </c>
      <c r="B65" t="s">
        <v>330</v>
      </c>
      <c r="C65" t="s">
        <v>540</v>
      </c>
      <c r="D65">
        <v>2000</v>
      </c>
      <c r="E65" t="s">
        <v>178</v>
      </c>
      <c r="F65" t="s">
        <v>465</v>
      </c>
      <c r="G65">
        <v>2003</v>
      </c>
      <c r="H65">
        <v>199</v>
      </c>
    </row>
    <row r="66" spans="1:8" x14ac:dyDescent="0.25">
      <c r="A66">
        <v>65</v>
      </c>
      <c r="B66" t="s">
        <v>331</v>
      </c>
      <c r="C66" t="s">
        <v>420</v>
      </c>
      <c r="D66">
        <v>2004</v>
      </c>
      <c r="E66" t="s">
        <v>544</v>
      </c>
      <c r="F66" t="s">
        <v>180</v>
      </c>
      <c r="G66">
        <v>2008</v>
      </c>
      <c r="H66">
        <v>200</v>
      </c>
    </row>
    <row r="67" spans="1:8" x14ac:dyDescent="0.25">
      <c r="A67">
        <v>66</v>
      </c>
      <c r="B67" t="s">
        <v>332</v>
      </c>
      <c r="C67" t="s">
        <v>541</v>
      </c>
      <c r="D67">
        <v>1976</v>
      </c>
      <c r="E67" t="s">
        <v>132</v>
      </c>
      <c r="F67" t="s">
        <v>457</v>
      </c>
      <c r="G67">
        <v>2009</v>
      </c>
      <c r="H67">
        <v>200</v>
      </c>
    </row>
    <row r="68" spans="1:8" x14ac:dyDescent="0.25">
      <c r="A68">
        <v>67</v>
      </c>
      <c r="B68" t="s">
        <v>526</v>
      </c>
      <c r="C68" t="s">
        <v>422</v>
      </c>
      <c r="D68">
        <v>1999</v>
      </c>
      <c r="E68" t="s">
        <v>534</v>
      </c>
      <c r="F68" t="s">
        <v>535</v>
      </c>
      <c r="G68">
        <v>2010</v>
      </c>
      <c r="H68">
        <v>200</v>
      </c>
    </row>
    <row r="69" spans="1:8" x14ac:dyDescent="0.25">
      <c r="A69">
        <v>68</v>
      </c>
      <c r="B69" t="s">
        <v>524</v>
      </c>
      <c r="C69" t="s">
        <v>423</v>
      </c>
      <c r="D69">
        <v>1987</v>
      </c>
      <c r="E69" t="s">
        <v>510</v>
      </c>
      <c r="F69" t="s">
        <v>533</v>
      </c>
      <c r="G69">
        <v>2010</v>
      </c>
      <c r="H69">
        <v>200</v>
      </c>
    </row>
    <row r="70" spans="1:8" x14ac:dyDescent="0.25">
      <c r="A70">
        <v>69</v>
      </c>
      <c r="B70" t="s">
        <v>334</v>
      </c>
      <c r="C70" t="s">
        <v>424</v>
      </c>
      <c r="D70">
        <v>1990</v>
      </c>
      <c r="E70" t="s">
        <v>520</v>
      </c>
      <c r="F70" t="s">
        <v>465</v>
      </c>
      <c r="G70">
        <v>2011</v>
      </c>
      <c r="H70">
        <v>200</v>
      </c>
    </row>
    <row r="71" spans="1:8" x14ac:dyDescent="0.25">
      <c r="A71">
        <v>70</v>
      </c>
      <c r="B71" t="s">
        <v>335</v>
      </c>
      <c r="C71" t="s">
        <v>423</v>
      </c>
      <c r="D71">
        <v>2004</v>
      </c>
      <c r="E71" t="s">
        <v>94</v>
      </c>
      <c r="F71" t="s">
        <v>464</v>
      </c>
      <c r="G71">
        <v>2011</v>
      </c>
      <c r="H71">
        <v>200</v>
      </c>
    </row>
    <row r="72" spans="1:8" x14ac:dyDescent="0.25">
      <c r="A72">
        <v>71</v>
      </c>
      <c r="B72" t="s">
        <v>336</v>
      </c>
      <c r="C72" t="s">
        <v>550</v>
      </c>
      <c r="D72">
        <v>1994</v>
      </c>
      <c r="E72" t="s">
        <v>190</v>
      </c>
      <c r="F72" t="s">
        <v>451</v>
      </c>
      <c r="G72">
        <v>2013</v>
      </c>
      <c r="H72">
        <v>201</v>
      </c>
    </row>
    <row r="73" spans="1:8" x14ac:dyDescent="0.25">
      <c r="A73">
        <v>72</v>
      </c>
      <c r="B73" t="s">
        <v>337</v>
      </c>
      <c r="C73" t="s">
        <v>426</v>
      </c>
      <c r="D73">
        <v>2002</v>
      </c>
      <c r="E73" t="s">
        <v>510</v>
      </c>
      <c r="F73" t="s">
        <v>533</v>
      </c>
      <c r="G73">
        <v>2018</v>
      </c>
      <c r="H73">
        <v>201</v>
      </c>
    </row>
    <row r="74" spans="1:8" x14ac:dyDescent="0.25">
      <c r="A74">
        <v>73</v>
      </c>
      <c r="B74" t="s">
        <v>338</v>
      </c>
      <c r="C74" t="s">
        <v>401</v>
      </c>
      <c r="D74">
        <v>1977</v>
      </c>
      <c r="E74" t="s">
        <v>486</v>
      </c>
      <c r="F74" t="s">
        <v>465</v>
      </c>
      <c r="G74">
        <v>2020</v>
      </c>
      <c r="H74">
        <v>201</v>
      </c>
    </row>
    <row r="75" spans="1:8" x14ac:dyDescent="0.25">
      <c r="A75">
        <v>74</v>
      </c>
      <c r="B75" t="s">
        <v>339</v>
      </c>
      <c r="C75" t="s">
        <v>542</v>
      </c>
      <c r="D75">
        <v>2008</v>
      </c>
      <c r="E75" t="s">
        <v>195</v>
      </c>
      <c r="F75" t="s">
        <v>511</v>
      </c>
      <c r="G75">
        <v>2021</v>
      </c>
      <c r="H75">
        <v>201</v>
      </c>
    </row>
    <row r="76" spans="1:8" x14ac:dyDescent="0.25">
      <c r="A76">
        <v>75</v>
      </c>
      <c r="B76" t="s">
        <v>527</v>
      </c>
      <c r="C76" t="s">
        <v>428</v>
      </c>
      <c r="D76">
        <v>1977</v>
      </c>
      <c r="E76" t="s">
        <v>536</v>
      </c>
      <c r="F76" t="s">
        <v>488</v>
      </c>
      <c r="G76">
        <v>2023</v>
      </c>
      <c r="H76">
        <v>202</v>
      </c>
    </row>
    <row r="77" spans="1:8" x14ac:dyDescent="0.25">
      <c r="A77">
        <v>76</v>
      </c>
      <c r="B77" t="s">
        <v>341</v>
      </c>
      <c r="C77" t="s">
        <v>429</v>
      </c>
      <c r="D77">
        <v>2002</v>
      </c>
      <c r="E77" t="s">
        <v>537</v>
      </c>
      <c r="F77" t="s">
        <v>512</v>
      </c>
      <c r="G77">
        <v>2026</v>
      </c>
      <c r="H77">
        <v>202</v>
      </c>
    </row>
    <row r="78" spans="1:8" x14ac:dyDescent="0.25">
      <c r="A78">
        <v>77</v>
      </c>
      <c r="B78" t="s">
        <v>342</v>
      </c>
      <c r="C78" t="s">
        <v>430</v>
      </c>
      <c r="D78">
        <v>1973</v>
      </c>
      <c r="E78" t="s">
        <v>204</v>
      </c>
      <c r="F78" t="s">
        <v>521</v>
      </c>
      <c r="G78">
        <v>2027</v>
      </c>
      <c r="H78">
        <v>202</v>
      </c>
    </row>
    <row r="79" spans="1:8" x14ac:dyDescent="0.25">
      <c r="A79">
        <v>78</v>
      </c>
      <c r="B79" t="s">
        <v>343</v>
      </c>
      <c r="C79" t="s">
        <v>431</v>
      </c>
      <c r="D79">
        <v>1991</v>
      </c>
      <c r="E79" t="s">
        <v>207</v>
      </c>
      <c r="F79" t="s">
        <v>491</v>
      </c>
      <c r="G79">
        <v>2033</v>
      </c>
      <c r="H79">
        <v>203</v>
      </c>
    </row>
    <row r="80" spans="1:8" x14ac:dyDescent="0.25">
      <c r="A80">
        <v>79</v>
      </c>
      <c r="B80" t="s">
        <v>344</v>
      </c>
      <c r="C80" t="s">
        <v>432</v>
      </c>
      <c r="D80">
        <v>1999</v>
      </c>
      <c r="E80" t="s">
        <v>210</v>
      </c>
      <c r="F80" t="s">
        <v>509</v>
      </c>
      <c r="G80">
        <v>2033</v>
      </c>
      <c r="H80">
        <v>203</v>
      </c>
    </row>
    <row r="81" spans="1:8" x14ac:dyDescent="0.25">
      <c r="A81">
        <v>80</v>
      </c>
      <c r="B81" t="s">
        <v>345</v>
      </c>
      <c r="C81" t="s">
        <v>433</v>
      </c>
      <c r="D81">
        <v>2006</v>
      </c>
      <c r="E81" t="s">
        <v>23</v>
      </c>
      <c r="F81" t="s">
        <v>449</v>
      </c>
      <c r="G81">
        <v>2037</v>
      </c>
      <c r="H81">
        <v>203</v>
      </c>
    </row>
    <row r="82" spans="1:8" x14ac:dyDescent="0.25">
      <c r="A82">
        <v>81</v>
      </c>
      <c r="B82" t="s">
        <v>346</v>
      </c>
      <c r="C82" t="s">
        <v>434</v>
      </c>
      <c r="D82">
        <v>1994</v>
      </c>
      <c r="E82" t="s">
        <v>37</v>
      </c>
      <c r="F82" t="s">
        <v>543</v>
      </c>
      <c r="G82">
        <v>2040</v>
      </c>
      <c r="H82">
        <v>203</v>
      </c>
    </row>
    <row r="83" spans="1:8" x14ac:dyDescent="0.25">
      <c r="A83">
        <v>82</v>
      </c>
      <c r="B83" t="s">
        <v>347</v>
      </c>
      <c r="C83" t="s">
        <v>434</v>
      </c>
      <c r="D83">
        <v>1998</v>
      </c>
      <c r="E83" t="s">
        <v>214</v>
      </c>
      <c r="F83" t="s">
        <v>543</v>
      </c>
      <c r="G83">
        <v>2041</v>
      </c>
      <c r="H83">
        <v>203</v>
      </c>
    </row>
    <row r="84" spans="1:8" x14ac:dyDescent="0.25">
      <c r="A84">
        <v>83</v>
      </c>
      <c r="B84" t="s">
        <v>301</v>
      </c>
      <c r="C84" t="s">
        <v>412</v>
      </c>
      <c r="D84">
        <v>2005</v>
      </c>
      <c r="E84" t="s">
        <v>216</v>
      </c>
      <c r="F84" t="s">
        <v>492</v>
      </c>
      <c r="G84">
        <v>2041</v>
      </c>
      <c r="H84">
        <v>204</v>
      </c>
    </row>
    <row r="85" spans="1:8" x14ac:dyDescent="0.25">
      <c r="A85">
        <v>84</v>
      </c>
      <c r="B85" t="s">
        <v>348</v>
      </c>
      <c r="C85" t="s">
        <v>435</v>
      </c>
      <c r="D85">
        <v>1981</v>
      </c>
      <c r="E85" t="s">
        <v>219</v>
      </c>
      <c r="F85" t="s">
        <v>465</v>
      </c>
      <c r="G85">
        <v>2043</v>
      </c>
      <c r="H85">
        <v>203</v>
      </c>
    </row>
    <row r="86" spans="1:8" x14ac:dyDescent="0.25">
      <c r="A86">
        <v>85</v>
      </c>
      <c r="B86" t="s">
        <v>349</v>
      </c>
      <c r="C86" t="s">
        <v>436</v>
      </c>
      <c r="D86">
        <v>1998</v>
      </c>
      <c r="E86" t="s">
        <v>221</v>
      </c>
      <c r="F86" t="s">
        <v>493</v>
      </c>
      <c r="G86">
        <v>2047</v>
      </c>
      <c r="H86">
        <v>204</v>
      </c>
    </row>
    <row r="87" spans="1:8" x14ac:dyDescent="0.25">
      <c r="A87">
        <v>86</v>
      </c>
      <c r="B87" t="s">
        <v>350</v>
      </c>
      <c r="C87" t="s">
        <v>550</v>
      </c>
      <c r="D87">
        <v>1989</v>
      </c>
      <c r="E87" t="s">
        <v>224</v>
      </c>
      <c r="F87" t="s">
        <v>465</v>
      </c>
      <c r="G87">
        <v>2053</v>
      </c>
      <c r="H87">
        <v>205</v>
      </c>
    </row>
    <row r="88" spans="1:8" x14ac:dyDescent="0.25">
      <c r="A88">
        <v>87</v>
      </c>
      <c r="B88" t="s">
        <v>351</v>
      </c>
      <c r="C88" t="s">
        <v>380</v>
      </c>
      <c r="D88">
        <v>1999</v>
      </c>
      <c r="E88" t="s">
        <v>226</v>
      </c>
      <c r="F88" t="s">
        <v>494</v>
      </c>
      <c r="G88">
        <v>2056</v>
      </c>
      <c r="H88">
        <v>205</v>
      </c>
    </row>
    <row r="89" spans="1:8" x14ac:dyDescent="0.25">
      <c r="A89">
        <v>88</v>
      </c>
      <c r="B89" t="s">
        <v>352</v>
      </c>
      <c r="C89" t="s">
        <v>437</v>
      </c>
      <c r="D89">
        <v>1971</v>
      </c>
      <c r="E89" t="s">
        <v>228</v>
      </c>
      <c r="F89" t="s">
        <v>518</v>
      </c>
      <c r="G89">
        <v>2057</v>
      </c>
      <c r="H89">
        <v>205</v>
      </c>
    </row>
    <row r="90" spans="1:8" x14ac:dyDescent="0.25">
      <c r="A90">
        <v>89</v>
      </c>
      <c r="B90" t="s">
        <v>353</v>
      </c>
      <c r="C90" t="s">
        <v>384</v>
      </c>
      <c r="D90">
        <v>2003</v>
      </c>
      <c r="E90" t="s">
        <v>230</v>
      </c>
      <c r="F90" t="s">
        <v>495</v>
      </c>
      <c r="G90">
        <v>2071</v>
      </c>
      <c r="H90">
        <v>206</v>
      </c>
    </row>
    <row r="91" spans="1:8" x14ac:dyDescent="0.25">
      <c r="A91">
        <v>90</v>
      </c>
      <c r="B91" t="s">
        <v>354</v>
      </c>
      <c r="C91" t="s">
        <v>438</v>
      </c>
      <c r="D91">
        <v>1975</v>
      </c>
      <c r="E91" t="s">
        <v>233</v>
      </c>
      <c r="F91" t="s">
        <v>513</v>
      </c>
      <c r="G91">
        <v>2073</v>
      </c>
      <c r="H91">
        <v>206</v>
      </c>
    </row>
    <row r="92" spans="1:8" x14ac:dyDescent="0.25">
      <c r="A92">
        <v>91</v>
      </c>
      <c r="B92" t="s">
        <v>522</v>
      </c>
      <c r="C92" t="s">
        <v>439</v>
      </c>
      <c r="D92">
        <v>2006</v>
      </c>
      <c r="E92" t="s">
        <v>236</v>
      </c>
      <c r="F92" t="s">
        <v>497</v>
      </c>
      <c r="G92">
        <v>2074</v>
      </c>
      <c r="H92">
        <v>206</v>
      </c>
    </row>
    <row r="93" spans="1:8" x14ac:dyDescent="0.25">
      <c r="A93">
        <v>92</v>
      </c>
      <c r="B93" t="s">
        <v>356</v>
      </c>
      <c r="C93" t="s">
        <v>396</v>
      </c>
      <c r="D93">
        <v>1979</v>
      </c>
      <c r="E93" t="s">
        <v>239</v>
      </c>
      <c r="F93" t="s">
        <v>514</v>
      </c>
      <c r="G93">
        <v>2074</v>
      </c>
      <c r="H93">
        <v>207</v>
      </c>
    </row>
    <row r="94" spans="1:8" x14ac:dyDescent="0.25">
      <c r="A94">
        <v>93</v>
      </c>
      <c r="B94" t="s">
        <v>357</v>
      </c>
      <c r="C94" t="s">
        <v>440</v>
      </c>
      <c r="D94">
        <v>2001</v>
      </c>
      <c r="E94" t="s">
        <v>538</v>
      </c>
      <c r="F94" t="s">
        <v>499</v>
      </c>
      <c r="G94">
        <v>2078</v>
      </c>
      <c r="H94">
        <v>207</v>
      </c>
    </row>
    <row r="95" spans="1:8" x14ac:dyDescent="0.25">
      <c r="A95">
        <v>94</v>
      </c>
      <c r="B95" t="s">
        <v>358</v>
      </c>
      <c r="C95" t="s">
        <v>547</v>
      </c>
      <c r="D95">
        <v>1991</v>
      </c>
      <c r="E95" t="s">
        <v>23</v>
      </c>
      <c r="F95" t="s">
        <v>449</v>
      </c>
      <c r="G95">
        <v>2082</v>
      </c>
      <c r="H95">
        <v>207</v>
      </c>
    </row>
    <row r="96" spans="1:8" x14ac:dyDescent="0.25">
      <c r="A96">
        <v>95</v>
      </c>
      <c r="B96" t="s">
        <v>359</v>
      </c>
      <c r="C96" t="s">
        <v>442</v>
      </c>
      <c r="D96">
        <v>1979</v>
      </c>
      <c r="E96" t="s">
        <v>500</v>
      </c>
      <c r="F96" t="s">
        <v>465</v>
      </c>
      <c r="G96">
        <v>2086</v>
      </c>
      <c r="H96">
        <v>208</v>
      </c>
    </row>
    <row r="97" spans="1:8" x14ac:dyDescent="0.25">
      <c r="A97">
        <v>96</v>
      </c>
      <c r="B97" t="s">
        <v>523</v>
      </c>
      <c r="C97" t="s">
        <v>443</v>
      </c>
      <c r="D97">
        <v>1997</v>
      </c>
      <c r="E97" t="s">
        <v>248</v>
      </c>
      <c r="F97" t="s">
        <v>479</v>
      </c>
      <c r="G97">
        <v>2087</v>
      </c>
      <c r="H97">
        <v>208</v>
      </c>
    </row>
    <row r="98" spans="1:8" x14ac:dyDescent="0.25">
      <c r="A98">
        <v>97</v>
      </c>
      <c r="B98" t="s">
        <v>361</v>
      </c>
      <c r="C98" t="s">
        <v>444</v>
      </c>
      <c r="D98">
        <v>1982</v>
      </c>
      <c r="E98" t="s">
        <v>250</v>
      </c>
      <c r="F98" t="s">
        <v>515</v>
      </c>
      <c r="G98">
        <v>2088</v>
      </c>
      <c r="H98">
        <v>208</v>
      </c>
    </row>
    <row r="99" spans="1:8" x14ac:dyDescent="0.25">
      <c r="A99">
        <v>98</v>
      </c>
      <c r="B99" t="s">
        <v>362</v>
      </c>
      <c r="C99" t="s">
        <v>402</v>
      </c>
      <c r="D99">
        <v>1995</v>
      </c>
      <c r="E99" t="s">
        <v>253</v>
      </c>
      <c r="F99" t="s">
        <v>502</v>
      </c>
      <c r="G99">
        <v>2094</v>
      </c>
      <c r="H99">
        <v>209</v>
      </c>
    </row>
    <row r="100" spans="1:8" x14ac:dyDescent="0.25">
      <c r="A100">
        <v>99</v>
      </c>
      <c r="B100" t="s">
        <v>363</v>
      </c>
      <c r="C100" t="s">
        <v>445</v>
      </c>
      <c r="D100">
        <v>2006</v>
      </c>
      <c r="E100" t="s">
        <v>256</v>
      </c>
      <c r="F100" t="s">
        <v>503</v>
      </c>
      <c r="G100">
        <v>2097</v>
      </c>
      <c r="H100">
        <v>209</v>
      </c>
    </row>
    <row r="101" spans="1:8" x14ac:dyDescent="0.25">
      <c r="A101">
        <v>100</v>
      </c>
      <c r="B101" t="s">
        <v>364</v>
      </c>
      <c r="C101" t="s">
        <v>446</v>
      </c>
      <c r="D101">
        <v>1990</v>
      </c>
      <c r="E101" t="s">
        <v>504</v>
      </c>
      <c r="F101" t="s">
        <v>465</v>
      </c>
      <c r="G101">
        <v>2097</v>
      </c>
      <c r="H101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FDE3-1BF0-4372-B0D8-FE91E14A1A43}">
  <dimension ref="A1:Q21"/>
  <sheetViews>
    <sheetView topLeftCell="A2" workbookViewId="0">
      <selection activeCell="B43" sqref="B43"/>
    </sheetView>
  </sheetViews>
  <sheetFormatPr defaultColWidth="11.42578125" defaultRowHeight="15" x14ac:dyDescent="0.25"/>
  <cols>
    <col min="9" max="9" width="3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5">
      <c r="A2">
        <v>1</v>
      </c>
      <c r="B2" t="s">
        <v>8</v>
      </c>
      <c r="C2">
        <v>98</v>
      </c>
      <c r="D2" t="s">
        <v>9</v>
      </c>
      <c r="E2" t="s">
        <v>10</v>
      </c>
      <c r="F2" t="s">
        <v>11</v>
      </c>
      <c r="G2" s="1">
        <v>1.2</v>
      </c>
      <c r="H2" s="2">
        <v>0.11944444444444445</v>
      </c>
      <c r="J2">
        <v>1</v>
      </c>
      <c r="K2" t="s">
        <v>8</v>
      </c>
      <c r="L2">
        <v>98</v>
      </c>
      <c r="M2" t="s">
        <v>9</v>
      </c>
      <c r="N2" t="s">
        <v>10</v>
      </c>
      <c r="O2" t="s">
        <v>11</v>
      </c>
      <c r="P2" s="1">
        <v>1.1993055555555556</v>
      </c>
      <c r="Q2" s="2">
        <v>0.11944444444444445</v>
      </c>
    </row>
    <row r="3" spans="1:17" x14ac:dyDescent="0.25">
      <c r="A3">
        <v>2</v>
      </c>
      <c r="B3" t="s">
        <v>12</v>
      </c>
      <c r="C3">
        <v>93</v>
      </c>
      <c r="D3" t="s">
        <v>13</v>
      </c>
      <c r="E3" t="s">
        <v>14</v>
      </c>
      <c r="F3" t="s">
        <v>15</v>
      </c>
      <c r="G3" s="1">
        <v>1.21875</v>
      </c>
      <c r="H3" s="2">
        <v>0.12152777777777778</v>
      </c>
      <c r="J3">
        <v>2</v>
      </c>
      <c r="K3" t="s">
        <v>12</v>
      </c>
      <c r="L3">
        <v>93</v>
      </c>
      <c r="M3" t="s">
        <v>13</v>
      </c>
      <c r="N3" t="s">
        <v>14</v>
      </c>
      <c r="O3" t="s">
        <v>15</v>
      </c>
      <c r="P3" s="1">
        <v>1.21875</v>
      </c>
      <c r="Q3" s="2">
        <v>0.12152777777777778</v>
      </c>
    </row>
    <row r="4" spans="1:17" x14ac:dyDescent="0.25">
      <c r="A4">
        <v>3</v>
      </c>
      <c r="B4" t="s">
        <v>16</v>
      </c>
      <c r="C4">
        <v>92</v>
      </c>
      <c r="D4" t="s">
        <v>13</v>
      </c>
      <c r="E4" t="s">
        <v>17</v>
      </c>
      <c r="F4" t="s">
        <v>18</v>
      </c>
      <c r="G4" s="1">
        <v>1.2236111111111112</v>
      </c>
      <c r="H4" s="2">
        <v>0.12222222222222222</v>
      </c>
      <c r="J4">
        <v>3</v>
      </c>
      <c r="K4" t="s">
        <v>16</v>
      </c>
      <c r="L4">
        <v>92</v>
      </c>
      <c r="M4" t="s">
        <v>13</v>
      </c>
      <c r="N4" t="s">
        <v>17</v>
      </c>
      <c r="O4" t="s">
        <v>18</v>
      </c>
      <c r="P4" s="1">
        <v>1.2236111111111112</v>
      </c>
      <c r="Q4" s="2">
        <v>0.12222222222222222</v>
      </c>
    </row>
    <row r="5" spans="1:17" x14ac:dyDescent="0.25">
      <c r="A5">
        <v>4</v>
      </c>
      <c r="B5" t="s">
        <v>19</v>
      </c>
      <c r="C5">
        <v>2</v>
      </c>
      <c r="D5" t="s">
        <v>20</v>
      </c>
      <c r="E5" t="s">
        <v>21</v>
      </c>
      <c r="F5" t="s">
        <v>18</v>
      </c>
      <c r="G5" s="1">
        <v>1.2250000000000001</v>
      </c>
      <c r="H5" s="2">
        <v>0.12222222222222222</v>
      </c>
      <c r="J5">
        <v>4</v>
      </c>
      <c r="K5" t="s">
        <v>19</v>
      </c>
      <c r="L5">
        <v>2</v>
      </c>
      <c r="M5" t="s">
        <v>20</v>
      </c>
      <c r="N5" t="s">
        <v>21</v>
      </c>
      <c r="O5" t="s">
        <v>18</v>
      </c>
      <c r="P5" s="1">
        <v>1.2250000000000001</v>
      </c>
      <c r="Q5" s="2">
        <v>0.12222222222222222</v>
      </c>
    </row>
    <row r="6" spans="1:17" x14ac:dyDescent="0.25">
      <c r="A6">
        <v>5</v>
      </c>
      <c r="B6" t="s">
        <v>22</v>
      </c>
      <c r="C6">
        <v>89</v>
      </c>
      <c r="D6" t="s">
        <v>13</v>
      </c>
      <c r="E6" t="s">
        <v>23</v>
      </c>
      <c r="F6" t="s">
        <v>24</v>
      </c>
      <c r="G6" s="1">
        <v>1.2270833333333333</v>
      </c>
      <c r="H6" s="2">
        <v>0.12222222222222222</v>
      </c>
      <c r="J6">
        <v>5</v>
      </c>
      <c r="K6" t="s">
        <v>22</v>
      </c>
      <c r="L6">
        <v>89</v>
      </c>
      <c r="M6" t="s">
        <v>13</v>
      </c>
      <c r="N6" t="s">
        <v>23</v>
      </c>
      <c r="O6" t="s">
        <v>24</v>
      </c>
      <c r="P6" s="1">
        <v>1.2270833333333333</v>
      </c>
      <c r="Q6" s="2">
        <v>0.12222222222222222</v>
      </c>
    </row>
    <row r="7" spans="1:17" x14ac:dyDescent="0.25">
      <c r="A7">
        <v>6</v>
      </c>
      <c r="B7" t="s">
        <v>25</v>
      </c>
      <c r="C7">
        <v>96</v>
      </c>
      <c r="D7" t="s">
        <v>26</v>
      </c>
      <c r="E7" t="s">
        <v>21</v>
      </c>
      <c r="F7" t="s">
        <v>27</v>
      </c>
      <c r="G7" s="1">
        <v>1.2326388888888888</v>
      </c>
      <c r="H7" s="2">
        <v>0.12291666666666666</v>
      </c>
      <c r="J7">
        <v>6</v>
      </c>
      <c r="K7" t="s">
        <v>25</v>
      </c>
      <c r="L7">
        <v>96</v>
      </c>
      <c r="M7" t="s">
        <v>26</v>
      </c>
      <c r="N7" t="s">
        <v>21</v>
      </c>
      <c r="O7" t="s">
        <v>27</v>
      </c>
      <c r="P7" s="1">
        <v>1.2326388888888888</v>
      </c>
      <c r="Q7" s="2">
        <v>0.12291666666666666</v>
      </c>
    </row>
    <row r="8" spans="1:17" x14ac:dyDescent="0.25">
      <c r="A8">
        <v>7</v>
      </c>
      <c r="B8" t="s">
        <v>28</v>
      </c>
      <c r="C8">
        <v>95</v>
      </c>
      <c r="D8" t="s">
        <v>13</v>
      </c>
      <c r="E8" t="s">
        <v>29</v>
      </c>
      <c r="F8" t="s">
        <v>30</v>
      </c>
      <c r="G8" s="1">
        <v>1.2368055555555555</v>
      </c>
      <c r="H8" s="2">
        <v>0.12361111111111112</v>
      </c>
      <c r="J8">
        <v>7</v>
      </c>
      <c r="K8" t="s">
        <v>28</v>
      </c>
      <c r="L8">
        <v>95</v>
      </c>
      <c r="M8" t="s">
        <v>13</v>
      </c>
      <c r="N8" t="s">
        <v>29</v>
      </c>
      <c r="O8" t="s">
        <v>30</v>
      </c>
      <c r="P8" s="1">
        <v>1.2368055555555555</v>
      </c>
      <c r="Q8" s="2">
        <v>0.12361111111111112</v>
      </c>
    </row>
    <row r="9" spans="1:17" x14ac:dyDescent="0.25">
      <c r="A9">
        <v>8</v>
      </c>
      <c r="B9" t="s">
        <v>31</v>
      </c>
      <c r="C9">
        <v>90</v>
      </c>
      <c r="D9" t="s">
        <v>26</v>
      </c>
      <c r="E9" t="s">
        <v>32</v>
      </c>
      <c r="F9" t="s">
        <v>33</v>
      </c>
      <c r="G9" s="1">
        <v>1.2402777777777778</v>
      </c>
      <c r="H9" s="2">
        <v>0.12361111111111112</v>
      </c>
      <c r="J9">
        <v>8</v>
      </c>
      <c r="K9" t="s">
        <v>31</v>
      </c>
      <c r="L9">
        <v>90</v>
      </c>
      <c r="M9" t="s">
        <v>26</v>
      </c>
      <c r="N9" t="s">
        <v>32</v>
      </c>
      <c r="O9" t="s">
        <v>33</v>
      </c>
      <c r="P9" s="1">
        <v>1.2402777777777778</v>
      </c>
      <c r="Q9" s="2">
        <v>0.12361111111111112</v>
      </c>
    </row>
    <row r="10" spans="1:17" x14ac:dyDescent="0.25">
      <c r="A10">
        <v>9</v>
      </c>
      <c r="B10" t="s">
        <v>34</v>
      </c>
      <c r="C10">
        <v>91</v>
      </c>
      <c r="D10" t="s">
        <v>13</v>
      </c>
      <c r="E10" t="s">
        <v>21</v>
      </c>
      <c r="F10" t="s">
        <v>35</v>
      </c>
      <c r="G10" s="1">
        <v>1.2479166666666666</v>
      </c>
      <c r="H10" s="2">
        <v>0.12430555555555556</v>
      </c>
      <c r="J10">
        <v>9</v>
      </c>
      <c r="K10" t="s">
        <v>34</v>
      </c>
      <c r="L10">
        <v>91</v>
      </c>
      <c r="M10" t="s">
        <v>13</v>
      </c>
      <c r="N10" t="s">
        <v>21</v>
      </c>
      <c r="O10" t="s">
        <v>35</v>
      </c>
      <c r="P10" s="1">
        <v>1.2479166666666666</v>
      </c>
      <c r="Q10" s="2">
        <v>0.12430555555555556</v>
      </c>
    </row>
    <row r="11" spans="1:17" x14ac:dyDescent="0.25">
      <c r="A11">
        <v>10</v>
      </c>
      <c r="B11" t="s">
        <v>36</v>
      </c>
      <c r="C11">
        <v>96</v>
      </c>
      <c r="D11" t="s">
        <v>13</v>
      </c>
      <c r="E11" t="s">
        <v>37</v>
      </c>
      <c r="F11" t="s">
        <v>15</v>
      </c>
      <c r="G11" s="1">
        <v>1.2534722222222223</v>
      </c>
      <c r="H11" s="2">
        <v>0.125</v>
      </c>
      <c r="J11">
        <v>10</v>
      </c>
      <c r="K11" t="s">
        <v>36</v>
      </c>
      <c r="L11">
        <v>96</v>
      </c>
      <c r="M11" t="s">
        <v>13</v>
      </c>
      <c r="N11" t="s">
        <v>37</v>
      </c>
      <c r="O11" t="s">
        <v>15</v>
      </c>
      <c r="P11" s="1">
        <v>1.2527777777777778</v>
      </c>
      <c r="Q11" s="2">
        <v>0.125</v>
      </c>
    </row>
    <row r="12" spans="1:17" x14ac:dyDescent="0.25">
      <c r="A12">
        <v>11</v>
      </c>
      <c r="B12" t="s">
        <v>38</v>
      </c>
      <c r="C12">
        <v>95</v>
      </c>
      <c r="D12" t="s">
        <v>13</v>
      </c>
      <c r="E12" t="s">
        <v>39</v>
      </c>
      <c r="F12" t="s">
        <v>40</v>
      </c>
      <c r="G12" s="1">
        <v>1.2611111111111111</v>
      </c>
      <c r="H12" s="2">
        <v>0.12569444444444444</v>
      </c>
      <c r="J12">
        <v>11</v>
      </c>
      <c r="K12" t="s">
        <v>38</v>
      </c>
      <c r="L12">
        <v>95</v>
      </c>
      <c r="M12" t="s">
        <v>13</v>
      </c>
      <c r="N12" t="s">
        <v>39</v>
      </c>
      <c r="O12" t="s">
        <v>40</v>
      </c>
      <c r="P12" s="1">
        <v>1.2611111111111111</v>
      </c>
      <c r="Q12" s="2">
        <v>0.12569444444444444</v>
      </c>
    </row>
    <row r="13" spans="1:17" x14ac:dyDescent="0.25">
      <c r="A13">
        <v>12</v>
      </c>
      <c r="B13" t="s">
        <v>41</v>
      </c>
      <c r="C13">
        <v>0</v>
      </c>
      <c r="D13" t="s">
        <v>13</v>
      </c>
      <c r="E13" t="s">
        <v>29</v>
      </c>
      <c r="F13" t="s">
        <v>30</v>
      </c>
      <c r="G13" s="1">
        <v>1.2625</v>
      </c>
      <c r="H13" s="2">
        <v>0.12569444444444444</v>
      </c>
      <c r="J13">
        <v>12</v>
      </c>
      <c r="K13" t="s">
        <v>41</v>
      </c>
      <c r="L13">
        <v>0</v>
      </c>
      <c r="M13" t="s">
        <v>13</v>
      </c>
      <c r="N13" t="s">
        <v>29</v>
      </c>
      <c r="O13" t="s">
        <v>30</v>
      </c>
      <c r="P13" s="1">
        <v>1.2618055555555556</v>
      </c>
      <c r="Q13" s="2">
        <v>0.12569444444444444</v>
      </c>
    </row>
    <row r="14" spans="1:17" x14ac:dyDescent="0.25">
      <c r="A14">
        <v>13</v>
      </c>
      <c r="B14" t="s">
        <v>42</v>
      </c>
      <c r="C14">
        <v>2</v>
      </c>
      <c r="D14" t="s">
        <v>13</v>
      </c>
      <c r="E14" t="s">
        <v>43</v>
      </c>
      <c r="F14" t="s">
        <v>44</v>
      </c>
      <c r="G14" s="1">
        <v>1.2659722222222223</v>
      </c>
      <c r="H14" s="2">
        <v>0.12638888888888888</v>
      </c>
      <c r="J14">
        <v>13</v>
      </c>
      <c r="K14" t="s">
        <v>42</v>
      </c>
      <c r="L14">
        <v>2</v>
      </c>
      <c r="M14" t="s">
        <v>13</v>
      </c>
      <c r="N14" t="s">
        <v>43</v>
      </c>
      <c r="O14" t="s">
        <v>44</v>
      </c>
      <c r="P14" s="1">
        <v>1.2652777777777777</v>
      </c>
      <c r="Q14" s="2">
        <v>0.12638888888888888</v>
      </c>
    </row>
    <row r="15" spans="1:17" x14ac:dyDescent="0.25">
      <c r="A15">
        <v>14</v>
      </c>
      <c r="B15" t="s">
        <v>45</v>
      </c>
      <c r="C15">
        <v>92</v>
      </c>
      <c r="D15" t="s">
        <v>13</v>
      </c>
      <c r="E15" t="s">
        <v>46</v>
      </c>
      <c r="F15" t="s">
        <v>47</v>
      </c>
      <c r="G15" s="1">
        <v>1.26875</v>
      </c>
      <c r="H15" s="2">
        <v>0.12638888888888888</v>
      </c>
      <c r="J15">
        <v>14</v>
      </c>
      <c r="K15" t="s">
        <v>45</v>
      </c>
      <c r="L15">
        <v>92</v>
      </c>
      <c r="M15" t="s">
        <v>13</v>
      </c>
      <c r="N15" t="s">
        <v>46</v>
      </c>
      <c r="O15" t="s">
        <v>47</v>
      </c>
      <c r="P15" s="1">
        <v>1.26875</v>
      </c>
      <c r="Q15" s="2">
        <v>0.12638888888888888</v>
      </c>
    </row>
    <row r="16" spans="1:17" x14ac:dyDescent="0.25">
      <c r="A16">
        <v>15</v>
      </c>
      <c r="B16" t="s">
        <v>48</v>
      </c>
      <c r="C16">
        <v>99</v>
      </c>
      <c r="D16" t="s">
        <v>13</v>
      </c>
      <c r="E16" t="s">
        <v>49</v>
      </c>
      <c r="F16" t="s">
        <v>35</v>
      </c>
      <c r="G16" s="1">
        <v>1.2722222222222221</v>
      </c>
      <c r="H16" s="2">
        <v>0.12708333333333333</v>
      </c>
      <c r="J16">
        <v>15</v>
      </c>
      <c r="K16" t="s">
        <v>48</v>
      </c>
      <c r="L16">
        <v>99</v>
      </c>
      <c r="M16" t="s">
        <v>13</v>
      </c>
      <c r="N16" t="s">
        <v>49</v>
      </c>
      <c r="O16" t="s">
        <v>35</v>
      </c>
      <c r="P16" s="1">
        <v>1.2722222222222221</v>
      </c>
      <c r="Q16" s="2">
        <v>0.12708333333333333</v>
      </c>
    </row>
    <row r="17" spans="1:17" x14ac:dyDescent="0.25">
      <c r="A17">
        <v>16</v>
      </c>
      <c r="B17" s="3" t="s">
        <v>50</v>
      </c>
      <c r="C17">
        <v>4</v>
      </c>
      <c r="D17" t="s">
        <v>51</v>
      </c>
      <c r="E17" t="s">
        <v>52</v>
      </c>
      <c r="F17" t="s">
        <v>53</v>
      </c>
      <c r="G17" s="1">
        <v>1.2749999999999999</v>
      </c>
      <c r="H17" s="2">
        <v>0.12708333333333333</v>
      </c>
      <c r="J17">
        <v>16</v>
      </c>
      <c r="K17" t="s">
        <v>54</v>
      </c>
      <c r="L17">
        <v>96</v>
      </c>
      <c r="M17" t="s">
        <v>13</v>
      </c>
      <c r="N17" t="s">
        <v>55</v>
      </c>
      <c r="O17" t="s">
        <v>18</v>
      </c>
      <c r="P17" s="1">
        <v>1.2749999999999999</v>
      </c>
      <c r="Q17" s="2">
        <v>0.12708333333333333</v>
      </c>
    </row>
    <row r="18" spans="1:17" x14ac:dyDescent="0.25">
      <c r="A18">
        <v>17</v>
      </c>
      <c r="B18" t="s">
        <v>54</v>
      </c>
      <c r="C18">
        <v>96</v>
      </c>
      <c r="D18" t="s">
        <v>13</v>
      </c>
      <c r="E18" t="s">
        <v>55</v>
      </c>
      <c r="F18" t="s">
        <v>18</v>
      </c>
      <c r="G18" s="1">
        <v>1.2756944444444445</v>
      </c>
      <c r="H18" s="2">
        <v>0.12708333333333333</v>
      </c>
      <c r="J18">
        <v>17</v>
      </c>
      <c r="K18" t="s">
        <v>56</v>
      </c>
      <c r="L18">
        <v>94</v>
      </c>
      <c r="M18" t="s">
        <v>13</v>
      </c>
      <c r="N18" t="s">
        <v>57</v>
      </c>
      <c r="O18" t="s">
        <v>30</v>
      </c>
      <c r="P18" s="1">
        <v>1.2756944444444445</v>
      </c>
      <c r="Q18" s="2">
        <v>0.12708333333333333</v>
      </c>
    </row>
    <row r="19" spans="1:17" x14ac:dyDescent="0.25">
      <c r="A19">
        <v>18</v>
      </c>
      <c r="B19" t="s">
        <v>56</v>
      </c>
      <c r="C19">
        <v>94</v>
      </c>
      <c r="D19" t="s">
        <v>13</v>
      </c>
      <c r="E19" t="s">
        <v>57</v>
      </c>
      <c r="F19" t="s">
        <v>30</v>
      </c>
      <c r="G19" s="1">
        <v>1.2763888888888888</v>
      </c>
      <c r="H19" s="2">
        <v>0.12708333333333333</v>
      </c>
      <c r="J19">
        <v>18</v>
      </c>
      <c r="K19" t="s">
        <v>61</v>
      </c>
      <c r="L19">
        <v>3</v>
      </c>
      <c r="M19" t="s">
        <v>13</v>
      </c>
      <c r="N19" t="s">
        <v>62</v>
      </c>
      <c r="O19" t="s">
        <v>63</v>
      </c>
      <c r="P19" s="1">
        <v>1.2923611111111111</v>
      </c>
      <c r="Q19" s="2">
        <v>0.12916666666666668</v>
      </c>
    </row>
    <row r="20" spans="1:17" x14ac:dyDescent="0.25">
      <c r="A20">
        <v>19</v>
      </c>
      <c r="B20" s="3" t="s">
        <v>58</v>
      </c>
      <c r="C20">
        <v>88</v>
      </c>
      <c r="D20" t="s">
        <v>51</v>
      </c>
      <c r="E20" t="s">
        <v>59</v>
      </c>
      <c r="F20" t="s">
        <v>60</v>
      </c>
      <c r="G20" s="1">
        <v>1.2895833333333333</v>
      </c>
      <c r="H20" s="2">
        <v>0.12847222222222221</v>
      </c>
      <c r="J20">
        <v>19</v>
      </c>
      <c r="K20" t="s">
        <v>64</v>
      </c>
      <c r="L20">
        <v>92</v>
      </c>
      <c r="M20" t="s">
        <v>13</v>
      </c>
      <c r="N20" t="s">
        <v>65</v>
      </c>
      <c r="O20" t="s">
        <v>66</v>
      </c>
      <c r="P20" s="1">
        <v>1.2993055555555555</v>
      </c>
      <c r="Q20" s="2">
        <v>0.12986111111111112</v>
      </c>
    </row>
    <row r="21" spans="1:17" x14ac:dyDescent="0.25">
      <c r="A21">
        <v>20</v>
      </c>
      <c r="B21" t="s">
        <v>61</v>
      </c>
      <c r="C21">
        <v>3</v>
      </c>
      <c r="D21" t="s">
        <v>13</v>
      </c>
      <c r="E21" t="s">
        <v>62</v>
      </c>
      <c r="F21" t="s">
        <v>63</v>
      </c>
      <c r="G21" s="1">
        <v>1.2930555555555556</v>
      </c>
      <c r="H21" s="2">
        <v>0.12916666666666668</v>
      </c>
      <c r="J21">
        <v>20</v>
      </c>
      <c r="K21" t="s">
        <v>67</v>
      </c>
      <c r="L21">
        <v>96</v>
      </c>
      <c r="M21" t="s">
        <v>13</v>
      </c>
      <c r="N21" t="s">
        <v>68</v>
      </c>
      <c r="O21" t="s">
        <v>30</v>
      </c>
      <c r="P21" s="1">
        <v>1.3006944444444444</v>
      </c>
      <c r="Q21" s="2">
        <v>0.12986111111111112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Helfenstein  Jan</dc:creator>
  <cp:lastModifiedBy>Helfenstein  Jan</cp:lastModifiedBy>
  <dcterms:created xsi:type="dcterms:W3CDTF">2025-03-16T14:09:20Z</dcterms:created>
  <dcterms:modified xsi:type="dcterms:W3CDTF">2025-03-18T18:50:56Z</dcterms:modified>
</cp:coreProperties>
</file>